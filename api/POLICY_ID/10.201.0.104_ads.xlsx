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New folder (2)\"/>
    </mc:Choice>
  </mc:AlternateContent>
  <xr:revisionPtr revIDLastSave="0" documentId="13_ncr:1_{9A1A3DB8-1254-43CE-AEE6-50E4A112F67B}" xr6:coauthVersionLast="47" xr6:coauthVersionMax="47" xr10:uidLastSave="{00000000-0000-0000-0000-000000000000}"/>
  <bookViews>
    <workbookView xWindow="-110" yWindow="-110" windowWidth="19420" windowHeight="11500" activeTab="1" xr2:uid="{D2C19E79-E98B-4439-9C16-7CAEF49DC454}"/>
  </bookViews>
  <sheets>
    <sheet name="10.201.0.104_ads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</calcChain>
</file>

<file path=xl/sharedStrings.xml><?xml version="1.0" encoding="utf-8"?>
<sst xmlns="http://schemas.openxmlformats.org/spreadsheetml/2006/main" count="288" uniqueCount="144">
  <si>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</si>
  <si>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</si>
  <si>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</si>
  <si>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</si>
  <si>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</si>
  <si>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</si>
  <si>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</si>
  <si>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</si>
  <si>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</si>
  <si>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</si>
  <si>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</si>
  <si>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</si>
  <si>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</si>
  <si>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</si>
  <si>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</si>
  <si>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10.222.131.61</t>
  </si>
  <si>
    <t>tcp</t>
  </si>
  <si>
    <t>ads-rule-10002</t>
  </si>
  <si>
    <t>From ADS data. Allow from 10.201.3.52</t>
  </si>
  <si>
    <t>ads-rule-10004</t>
  </si>
  <si>
    <t>From ADS data. Allow from 10.72.42.5</t>
  </si>
  <si>
    <t>ads-rule-10014</t>
  </si>
  <si>
    <t>From ADS data. Allow from 10.201.32.83</t>
  </si>
  <si>
    <t>ads-rule-10015</t>
  </si>
  <si>
    <t>From ADS data. Allow from 10.201.48.45</t>
  </si>
  <si>
    <t>ads-rule-10016</t>
  </si>
  <si>
    <t>From ADS data. Allow from 10.201.48.20</t>
  </si>
  <si>
    <t>ads-rule-10017</t>
  </si>
  <si>
    <t>From ADS data. Allow from 10.222.134.65</t>
  </si>
  <si>
    <t>ads-rule-10018</t>
  </si>
  <si>
    <t>From ADS data. Allow from 10.201.4.3</t>
  </si>
  <si>
    <t>ads-rule-10021</t>
  </si>
  <si>
    <t>From ADS data. Allow from 10.201.16.37</t>
  </si>
  <si>
    <t>ads-rule-10022</t>
  </si>
  <si>
    <t>From ADS data. Allow from 44.168.32.133</t>
  </si>
  <si>
    <t>ads-rule-10023</t>
  </si>
  <si>
    <t>ads-rule-10025</t>
  </si>
  <si>
    <t>From ADS data. Allow from 44.168.32.144</t>
  </si>
  <si>
    <t>ads-rule-10026</t>
  </si>
  <si>
    <t>ads-rule-10027</t>
  </si>
  <si>
    <t>From ADS data. Allow from 44.168.32.136</t>
  </si>
  <si>
    <t>ads-rule-10028</t>
  </si>
  <si>
    <t>From ADS data. Allow from 44.168.32.145</t>
  </si>
  <si>
    <t>ads-rule-10030</t>
  </si>
  <si>
    <t>ads-rule-10032</t>
  </si>
  <si>
    <t>From ADS data. Allow from 10.222.65.102</t>
  </si>
  <si>
    <t>ads-rule-10033</t>
  </si>
  <si>
    <t>From ADS data. Allow from 10.201.16.11</t>
  </si>
  <si>
    <t>ads-rule-10035</t>
  </si>
  <si>
    <t>From ADS data. Allow from 10.202.167.238</t>
  </si>
  <si>
    <t>ads-rule-10036</t>
  </si>
  <si>
    <t>From ADS data. Allow from 10.201.4.232</t>
  </si>
  <si>
    <t>ads-rule-10037</t>
  </si>
  <si>
    <t>From ADS data. Allow from 10.201.48.46</t>
  </si>
  <si>
    <t>ads-rule-10038</t>
  </si>
  <si>
    <t>From ADS data. Allow from 10.201.48.242</t>
  </si>
  <si>
    <t>ads-rule-10039</t>
  </si>
  <si>
    <t>From ADS data. Allow from 44.119.8.158</t>
  </si>
  <si>
    <t>ads-rule-10040</t>
  </si>
  <si>
    <t>From ADS data. Allow from 10.222.133.66</t>
  </si>
  <si>
    <t>ads-rule-10041</t>
  </si>
  <si>
    <t>From ADS data. Allow from 10.222.130.72</t>
  </si>
  <si>
    <t>get router info routing-table details</t>
  </si>
  <si>
    <t>10.222.131.61</t>
  </si>
  <si>
    <t>10.201.3.52</t>
  </si>
  <si>
    <t>10.72.42.5</t>
  </si>
  <si>
    <t>10.201.32.83</t>
  </si>
  <si>
    <t>10.201.48.45</t>
  </si>
  <si>
    <t>10.201.48.20</t>
  </si>
  <si>
    <t>10.222.134.65</t>
  </si>
  <si>
    <t>10.201.4.3</t>
  </si>
  <si>
    <t>10.201.16.37</t>
  </si>
  <si>
    <t>44.168.32.133</t>
  </si>
  <si>
    <t>44.168.32.144</t>
  </si>
  <si>
    <t>44.168.32.136</t>
  </si>
  <si>
    <t>44.168.32.145</t>
  </si>
  <si>
    <t>10.222.65.102</t>
  </si>
  <si>
    <t>10.201.16.11</t>
  </si>
  <si>
    <t>10.202.167.238</t>
  </si>
  <si>
    <t>10.201.4.232</t>
  </si>
  <si>
    <t>10.201.48.46</t>
  </si>
  <si>
    <t>10.201.48.242</t>
  </si>
  <si>
    <t>44.119.8.158</t>
  </si>
  <si>
    <t>10.222.133.66</t>
  </si>
  <si>
    <t>10.222.130.72</t>
  </si>
  <si>
    <t>E2-EH-AGN</t>
  </si>
  <si>
    <t>E2-EH-ADMOPE-1</t>
  </si>
  <si>
    <t>E2-EH-PART</t>
  </si>
  <si>
    <t>E2-EH-VDI-EXT</t>
  </si>
  <si>
    <t>E2-EH-CRITICAL</t>
  </si>
  <si>
    <t>E2-EH-CORE</t>
  </si>
  <si>
    <t>EH-VDI</t>
  </si>
  <si>
    <t>diagnose firewall iprope lookup</t>
  </si>
  <si>
    <t>FR-E2-FW-EH-1-FNET $ diagnose firewall iprope lookup 10.222.131.61 22 10.201.0.104 22 tcp E2-EH-AGN</t>
  </si>
  <si>
    <t>&lt;src [10.222.131.61-22] dst [10.201.0.104-22] proto tcp dev E2-EH-AGN&gt; matches policy id: 4151</t>
  </si>
  <si>
    <t>FR-E2-FW-EH-1-FNET $ diagnose firewall iprope lookup 10.201.3.52 22 10.201.0.104 22 tcp E2-EH-ADMOPE-1</t>
  </si>
  <si>
    <t>&lt;src [10.201.3.52-22] dst [10.201.0.104-22] proto tcp dev E2-EH-ADMOPE-1&gt; matches policy id: 683</t>
  </si>
  <si>
    <t>FR-E2-FW-EH-1-FNET $ diagnose firewall iprope lookup 10.72.42.5 22 10.201.0.104 22 tcp E2-EH-AGN</t>
  </si>
  <si>
    <t>&lt;src [10.72.42.5-22] dst [10.201.0.104-22] proto tcp dev E2-EH-AGN&gt; matches policy id: 8870</t>
  </si>
  <si>
    <t>FR-E2-FW-EH-1-FNET $ diagnose firewall iprope lookup 10.201.32.83 9000 10.201.0.104 9000 tcp E2-EH-PART</t>
  </si>
  <si>
    <t>&lt;src [10.201.32.83-9000] dst [10.201.0.104-9000] proto tcp dev E2-EH-PART&gt; matches policy id: 7644</t>
  </si>
  <si>
    <t>FR-E2-FW-EH-1-FNET $ diagnose firewall iprope lookup 10.201.48.45 22 10.201.0.104 22 tcp E2-EH-VDI-EXT</t>
  </si>
  <si>
    <t>&lt;src [10.201.48.45-22] dst [10.201.0.104-22] proto tcp dev E2-EH-VDI-EXT&gt; matches policy id: 685</t>
  </si>
  <si>
    <t>FR-E2-FW-EH-1-FNET $ diagnose firewall iprope lookup 10.201.48.20 22 10.201.0.104 22 tcp E2-EH-VDI-EXT</t>
  </si>
  <si>
    <t>&lt;src [10.201.48.20-22] dst [10.201.0.104-22] proto tcp dev E2-EH-VDI-EXT&gt; matches policy id: 685</t>
  </si>
  <si>
    <t>FR-E2-FW-EH-1-FNET $ diagnose firewall iprope lookup 10.222.134.65 22 10.201.0.104 22 tcp E2-EH-AGN</t>
  </si>
  <si>
    <t>&lt;src [10.222.134.65-22] dst [10.201.0.104-22] proto tcp dev E2-EH-AGN&gt; matches policy id: 4151</t>
  </si>
  <si>
    <t>FR-E2-FW-EH-1-FNET $ diagnose firewall iprope lookup 10.201.4.3 22 10.201.0.104 22 tcp E2-EH-CRITICAL</t>
  </si>
  <si>
    <t>&lt;src [10.201.4.3-22] dst [10.201.0.104-22] proto tcp dev E2-EH-CRITICAL&gt; matches policy id: 677</t>
  </si>
  <si>
    <t>FR-E2-FW-EH-1-FNET $ diagnose firewall iprope lookup 10.201.16.37 22 10.201.0.104 22 tcp E2-EH-CORE</t>
  </si>
  <si>
    <t>&lt;src [10.201.16.37-22] dst [10.201.0.104-22] proto tcp dev E2-EH-CORE&gt; matches policy id: 284</t>
  </si>
  <si>
    <t>FR-E2-FW-EH-1-FNET $ diagnose firewall iprope lookup 44.168.32.133 22 10.201.0.104 22 tcp E2-EH-AGN</t>
  </si>
  <si>
    <t>&lt;src [44.168.32.133-22] dst [10.201.0.104-22] proto tcp dev E2-EH-AGN&gt; matches policy id: 4151</t>
  </si>
  <si>
    <t>FR-E2-FW-EH-1-FNET $ diagnose firewall iprope lookup 44.168.32.133 80 10.201.0.104 80 tcp E2-EH-AGN</t>
  </si>
  <si>
    <t>&lt;src [44.168.32.133-80] dst [10.201.0.104-80] proto tcp dev E2-EH-AGN&gt; matches policy id: 4151</t>
  </si>
  <si>
    <t>FR-E2-FW-EH-1-FNET $ diagnose firewall iprope lookup 44.168.32.144 22 10.201.0.104 22 tcp E2-EH-AGN</t>
  </si>
  <si>
    <t>&lt;src [44.168.32.144-22] dst [10.201.0.104-22] proto tcp dev E2-EH-AGN&gt; matches policy id: 4151</t>
  </si>
  <si>
    <t>FR-E2-FW-EH-1-FNET $ diagnose firewall iprope lookup 44.168.32.144 80 10.201.0.104 80 tcp E2-EH-AGN</t>
  </si>
  <si>
    <t>&lt;src [44.168.32.144-80] dst [10.201.0.104-80] proto tcp dev E2-EH-AGN&gt; matches policy id: 4151</t>
  </si>
  <si>
    <t>FR-E2-FW-EH-1-FNET $ diagnose firewall iprope lookup 44.168.32.136 22 10.201.0.104 22 tcp E2-EH-AGN</t>
  </si>
  <si>
    <t>&lt;src [44.168.32.136-22] dst [10.201.0.104-22] proto tcp dev E2-EH-AGN&gt; matches policy id: 4151</t>
  </si>
  <si>
    <t>FR-E2-FW-EH-1-FNET $ diagnose firewall iprope lookup 44.168.32.145 22 10.201.0.104 22 tcp E2-EH-AGN</t>
  </si>
  <si>
    <t>&lt;src [44.168.32.145-22] dst [10.201.0.104-22] proto tcp dev E2-EH-AGN&gt; matches policy id: 4151</t>
  </si>
  <si>
    <t>FR-E2-FW-EH-1-FNET $ diagnose firewall iprope lookup 44.168.32.145 80 10.201.0.104 80 tcp E2-EH-AGN</t>
  </si>
  <si>
    <t>&lt;src [44.168.32.145-80] dst [10.201.0.104-80] proto tcp dev E2-EH-AGN&gt; matches policy id: 4151</t>
  </si>
  <si>
    <t>FR-E2-FW-EH-1-FNET $ diagnose firewall iprope lookup 10.222.65.102 22 10.201.0.104 22 tcp EH-VDI</t>
  </si>
  <si>
    <t>&lt;src [10.222.65.102-22] dst [10.201.0.104-22] proto tcp dev EH-VDI&gt; matches policy id: 4151</t>
  </si>
  <si>
    <t>FR-E2-FW-EH-1-FNET $ diagnose firewall iprope lookup 10.201.16.11 22 10.201.0.104 22 tcp E2-EH-CORE</t>
  </si>
  <si>
    <t>&lt;src [10.201.16.11-22] dst [10.201.0.104-22] proto tcp dev E2-EH-CORE&gt; matches policy id: 284</t>
  </si>
  <si>
    <t>FR-E2-FW-EH-1-FNET $ diagnose firewall iprope lookup 10.202.167.238 9000 10.201.0.104 9000 tcp E2-EH-AGN</t>
  </si>
  <si>
    <t>&lt;src [10.202.167.238-9000] dst [10.201.0.104-9000] proto tcp dev E2-EH-AGN&gt; matches policy id: 4151</t>
  </si>
  <si>
    <t>FR-E2-FW-EH-1-FNET $ diagnose firewall iprope lookup 10.201.4.232 22 10.201.0.104 22 tcp E2-EH-CRITICAL</t>
  </si>
  <si>
    <t>&lt;src [10.201.4.232-22] dst [10.201.0.104-22] proto tcp dev E2-EH-CRITICAL&gt; matches policy id: 677</t>
  </si>
  <si>
    <t>FR-E2-FW-EH-1-FNET $ diagnose firewall iprope lookup 10.201.48.46 22 10.201.0.104 22 tcp E2-EH-VDI-EXT</t>
  </si>
  <si>
    <t>&lt;src [10.201.48.46-22] dst [10.201.0.104-22] proto tcp dev E2-EH-VDI-EXT&gt; matches policy id: 685</t>
  </si>
  <si>
    <t>FR-E2-FW-EH-1-FNET $ diagnose firewall iprope lookup 10.201.48.242 22 10.201.0.104 22 tcp E2-EH-VDI-EXT</t>
  </si>
  <si>
    <t>&lt;src [10.201.48.242-22] dst [10.201.0.104-22] proto tcp dev E2-EH-VDI-EXT&gt; matches policy id: 685</t>
  </si>
  <si>
    <t>FR-E2-FW-EH-1-FNET $ diagnose firewall iprope lookup 44.119.8.158 22 10.201.0.104 22 tcp E2-EH-AGN</t>
  </si>
  <si>
    <t>&lt;src [44.119.8.158-22] dst [10.201.0.104-22] proto tcp dev E2-EH-AGN&gt; matches policy id: 8184</t>
  </si>
  <si>
    <t>FR-E2-FW-EH-1-FNET $ diagnose firewall iprope lookup 10.222.133.66 22 10.201.0.104 22 tcp E2-EH-AGN</t>
  </si>
  <si>
    <t>&lt;src [10.222.133.66-22] dst [10.201.0.104-22] proto tcp dev E2-EH-AGN&gt; matches policy id: 4151</t>
  </si>
  <si>
    <t>FR-E2-FW-EH-1-FNET $ diagnose firewall iprope lookup 10.222.130.72 22 10.201.0.104 22 tcp E2-EH-AGN</t>
  </si>
  <si>
    <t>&lt;src [10.222.130.72-22] dst [10.201.0.104-22] proto tcp dev E2-EH-AGN&gt; matches policy id: 4151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</si>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</sst>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B0E6-4C36-4727-BB6A-38BBD25779F1}">
  <dimension ref="A1:R26"/>
  <sheetViews>
    <sheetView topLeftCell="N1" zoomScale="80" zoomScaleNormal="80" workbookViewId="0">
      <selection activeCell="R2" sqref="R2:R26"/>
    </sheetView>
  </sheetViews>
  <sheetFormatPr defaultRowHeight="14" x14ac:dyDescent="0.3"/>
  <cols>
    <col min="13" max="13" width="29.75" bestFit="1" customWidth="1"/>
    <col min="14" max="14" width="54.9140625" bestFit="1" customWidth="1"/>
    <col min="15" max="16" width="16.83203125" bestFit="1" customWidth="1"/>
    <col min="17" max="17" width="27.08203125" bestFit="1" customWidth="1"/>
    <col min="18" max="18" width="75.1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63</v>
      </c>
      <c r="I2" t="s">
        <v>16</v>
      </c>
      <c r="J2">
        <v>22</v>
      </c>
      <c r="K2">
        <v>22</v>
      </c>
      <c r="M2" t="s">
        <v>62</v>
      </c>
      <c r="N2" t="str">
        <f>_xlfn.CONCAT(M2," ",E2, " | grep -f *")</f>
        <v>get router info routing-table details 10.222.131.61 | grep -f *</v>
      </c>
      <c r="P2" t="s">
        <v>85</v>
      </c>
      <c r="Q2" t="s">
        <v>92</v>
      </c>
      <c r="R2" t="str">
        <f>_xlfn.CONCAT(Q2," ", E2, " ",J2," 10.201.0.104 ",K2," tcp ",P2 )</f>
        <v>diagnose firewall iprope lookup 10.222.131.61 22 10.201.0.104 22 tcp E2-EH-AGN</v>
      </c>
    </row>
    <row r="3" spans="1:18" x14ac:dyDescent="0.3">
      <c r="A3" t="s">
        <v>12</v>
      </c>
      <c r="B3" t="s">
        <v>13</v>
      </c>
      <c r="C3" t="s">
        <v>17</v>
      </c>
      <c r="D3" t="s">
        <v>18</v>
      </c>
      <c r="E3" t="s">
        <v>64</v>
      </c>
      <c r="I3" t="s">
        <v>16</v>
      </c>
      <c r="J3">
        <v>22</v>
      </c>
      <c r="K3">
        <v>22</v>
      </c>
      <c r="M3" t="s">
        <v>62</v>
      </c>
      <c r="N3" t="str">
        <f t="shared" ref="N3:N26" si="0">_xlfn.CONCAT(M3," ",E3, " | grep -f *")</f>
        <v>get router info routing-table details 10.201.3.52 | grep -f *</v>
      </c>
      <c r="P3" t="s">
        <v>86</v>
      </c>
      <c r="Q3" t="s">
        <v>92</v>
      </c>
      <c r="R3" t="str">
        <f t="shared" ref="R3:R26" si="1">_xlfn.CONCAT(Q3," ", E3, " ",J3," 10.201.0.104 ",K3," tcp ",P3 )</f>
        <v>diagnose firewall iprope lookup 10.201.3.52 22 10.201.0.104 22 tcp E2-EH-ADMOPE-1</v>
      </c>
    </row>
    <row r="4" spans="1:18" x14ac:dyDescent="0.3">
      <c r="A4" t="s">
        <v>12</v>
      </c>
      <c r="B4" t="s">
        <v>13</v>
      </c>
      <c r="C4" t="s">
        <v>19</v>
      </c>
      <c r="D4" t="s">
        <v>20</v>
      </c>
      <c r="E4" t="s">
        <v>65</v>
      </c>
      <c r="I4" t="s">
        <v>16</v>
      </c>
      <c r="J4">
        <v>22</v>
      </c>
      <c r="K4">
        <v>22</v>
      </c>
      <c r="M4" t="s">
        <v>62</v>
      </c>
      <c r="N4" t="str">
        <f t="shared" si="0"/>
        <v>get router info routing-table details 10.72.42.5 | grep -f *</v>
      </c>
      <c r="P4" t="s">
        <v>85</v>
      </c>
      <c r="Q4" t="s">
        <v>92</v>
      </c>
      <c r="R4" t="str">
        <f t="shared" si="1"/>
        <v>diagnose firewall iprope lookup 10.72.42.5 22 10.201.0.104 22 tcp E2-EH-AGN</v>
      </c>
    </row>
    <row r="5" spans="1:18" x14ac:dyDescent="0.3">
      <c r="A5" t="s">
        <v>12</v>
      </c>
      <c r="B5" t="s">
        <v>13</v>
      </c>
      <c r="C5" t="s">
        <v>21</v>
      </c>
      <c r="D5" t="s">
        <v>22</v>
      </c>
      <c r="E5" t="s">
        <v>66</v>
      </c>
      <c r="I5" t="s">
        <v>16</v>
      </c>
      <c r="J5">
        <v>9000</v>
      </c>
      <c r="K5">
        <v>9000</v>
      </c>
      <c r="M5" t="s">
        <v>62</v>
      </c>
      <c r="N5" t="str">
        <f t="shared" si="0"/>
        <v>get router info routing-table details 10.201.32.83 | grep -f *</v>
      </c>
      <c r="P5" t="s">
        <v>87</v>
      </c>
      <c r="Q5" t="s">
        <v>92</v>
      </c>
      <c r="R5" t="str">
        <f t="shared" si="1"/>
        <v>diagnose firewall iprope lookup 10.201.32.83 9000 10.201.0.104 9000 tcp E2-EH-PART</v>
      </c>
    </row>
    <row r="6" spans="1:18" x14ac:dyDescent="0.3">
      <c r="A6" t="s">
        <v>12</v>
      </c>
      <c r="B6" t="s">
        <v>13</v>
      </c>
      <c r="C6" t="s">
        <v>23</v>
      </c>
      <c r="D6" t="s">
        <v>24</v>
      </c>
      <c r="E6" t="s">
        <v>67</v>
      </c>
      <c r="I6" t="s">
        <v>16</v>
      </c>
      <c r="J6">
        <v>22</v>
      </c>
      <c r="K6">
        <v>22</v>
      </c>
      <c r="M6" t="s">
        <v>62</v>
      </c>
      <c r="N6" t="str">
        <f t="shared" si="0"/>
        <v>get router info routing-table details 10.201.48.45 | grep -f *</v>
      </c>
      <c r="P6" t="s">
        <v>88</v>
      </c>
      <c r="Q6" t="s">
        <v>92</v>
      </c>
      <c r="R6" t="str">
        <f t="shared" si="1"/>
        <v>diagnose firewall iprope lookup 10.201.48.45 22 10.201.0.104 22 tcp E2-EH-VDI-EXT</v>
      </c>
    </row>
    <row r="7" spans="1:18" x14ac:dyDescent="0.3">
      <c r="A7" t="s">
        <v>12</v>
      </c>
      <c r="B7" t="s">
        <v>13</v>
      </c>
      <c r="C7" t="s">
        <v>25</v>
      </c>
      <c r="D7" t="s">
        <v>26</v>
      </c>
      <c r="E7" t="s">
        <v>68</v>
      </c>
      <c r="I7" t="s">
        <v>16</v>
      </c>
      <c r="J7">
        <v>22</v>
      </c>
      <c r="K7">
        <v>22</v>
      </c>
      <c r="M7" t="s">
        <v>62</v>
      </c>
      <c r="N7" t="str">
        <f t="shared" si="0"/>
        <v>get router info routing-table details 10.201.48.20 | grep -f *</v>
      </c>
      <c r="P7" t="s">
        <v>88</v>
      </c>
      <c r="Q7" t="s">
        <v>92</v>
      </c>
      <c r="R7" t="str">
        <f t="shared" si="1"/>
        <v>diagnose firewall iprope lookup 10.201.48.20 22 10.201.0.104 22 tcp E2-EH-VDI-EXT</v>
      </c>
    </row>
    <row r="8" spans="1:18" x14ac:dyDescent="0.3">
      <c r="A8" t="s">
        <v>12</v>
      </c>
      <c r="B8" t="s">
        <v>13</v>
      </c>
      <c r="C8" t="s">
        <v>27</v>
      </c>
      <c r="D8" t="s">
        <v>28</v>
      </c>
      <c r="E8" t="s">
        <v>69</v>
      </c>
      <c r="I8" t="s">
        <v>16</v>
      </c>
      <c r="J8">
        <v>22</v>
      </c>
      <c r="K8">
        <v>22</v>
      </c>
      <c r="M8" t="s">
        <v>62</v>
      </c>
      <c r="N8" t="str">
        <f t="shared" si="0"/>
        <v>get router info routing-table details 10.222.134.65 | grep -f *</v>
      </c>
      <c r="P8" t="s">
        <v>85</v>
      </c>
      <c r="Q8" t="s">
        <v>92</v>
      </c>
      <c r="R8" t="str">
        <f t="shared" si="1"/>
        <v>diagnose firewall iprope lookup 10.222.134.65 22 10.201.0.104 22 tcp E2-EH-AGN</v>
      </c>
    </row>
    <row r="9" spans="1:18" x14ac:dyDescent="0.3">
      <c r="A9" t="s">
        <v>12</v>
      </c>
      <c r="B9" t="s">
        <v>13</v>
      </c>
      <c r="C9" t="s">
        <v>29</v>
      </c>
      <c r="D9" t="s">
        <v>30</v>
      </c>
      <c r="E9" t="s">
        <v>70</v>
      </c>
      <c r="I9" t="s">
        <v>16</v>
      </c>
      <c r="J9">
        <v>22</v>
      </c>
      <c r="K9">
        <v>22</v>
      </c>
      <c r="M9" t="s">
        <v>62</v>
      </c>
      <c r="N9" t="str">
        <f t="shared" si="0"/>
        <v>get router info routing-table details 10.201.4.3 | grep -f *</v>
      </c>
      <c r="P9" t="s">
        <v>89</v>
      </c>
      <c r="Q9" t="s">
        <v>92</v>
      </c>
      <c r="R9" t="str">
        <f t="shared" si="1"/>
        <v>diagnose firewall iprope lookup 10.201.4.3 22 10.201.0.104 22 tcp E2-EH-CRITICAL</v>
      </c>
    </row>
    <row r="10" spans="1:18" x14ac:dyDescent="0.3">
      <c r="A10" t="s">
        <v>12</v>
      </c>
      <c r="B10" t="s">
        <v>13</v>
      </c>
      <c r="C10" t="s">
        <v>31</v>
      </c>
      <c r="D10" t="s">
        <v>32</v>
      </c>
      <c r="E10" t="s">
        <v>71</v>
      </c>
      <c r="I10" t="s">
        <v>16</v>
      </c>
      <c r="J10">
        <v>22</v>
      </c>
      <c r="K10">
        <v>22</v>
      </c>
      <c r="M10" t="s">
        <v>62</v>
      </c>
      <c r="N10" t="str">
        <f t="shared" si="0"/>
        <v>get router info routing-table details 10.201.16.37 | grep -f *</v>
      </c>
      <c r="P10" t="s">
        <v>90</v>
      </c>
      <c r="Q10" t="s">
        <v>92</v>
      </c>
      <c r="R10" t="str">
        <f t="shared" si="1"/>
        <v>diagnose firewall iprope lookup 10.201.16.37 22 10.201.0.104 22 tcp E2-EH-CORE</v>
      </c>
    </row>
    <row r="11" spans="1:18" x14ac:dyDescent="0.3">
      <c r="A11" t="s">
        <v>12</v>
      </c>
      <c r="B11" t="s">
        <v>13</v>
      </c>
      <c r="C11" t="s">
        <v>33</v>
      </c>
      <c r="D11" t="s">
        <v>34</v>
      </c>
      <c r="E11" t="s">
        <v>72</v>
      </c>
      <c r="I11" t="s">
        <v>16</v>
      </c>
      <c r="J11">
        <v>22</v>
      </c>
      <c r="K11">
        <v>22</v>
      </c>
      <c r="M11" t="s">
        <v>62</v>
      </c>
      <c r="N11" t="str">
        <f t="shared" si="0"/>
        <v>get router info routing-table details 44.168.32.133 | grep -f *</v>
      </c>
      <c r="P11" t="s">
        <v>85</v>
      </c>
      <c r="Q11" t="s">
        <v>92</v>
      </c>
      <c r="R11" t="str">
        <f t="shared" si="1"/>
        <v>diagnose firewall iprope lookup 44.168.32.133 22 10.201.0.104 22 tcp E2-EH-AGN</v>
      </c>
    </row>
    <row r="12" spans="1:18" x14ac:dyDescent="0.3">
      <c r="A12" t="s">
        <v>12</v>
      </c>
      <c r="B12" t="s">
        <v>13</v>
      </c>
      <c r="C12" t="s">
        <v>35</v>
      </c>
      <c r="D12" t="s">
        <v>34</v>
      </c>
      <c r="E12" t="s">
        <v>72</v>
      </c>
      <c r="I12" t="s">
        <v>16</v>
      </c>
      <c r="J12">
        <v>80</v>
      </c>
      <c r="K12">
        <v>80</v>
      </c>
      <c r="M12" t="s">
        <v>62</v>
      </c>
      <c r="N12" t="str">
        <f t="shared" si="0"/>
        <v>get router info routing-table details 44.168.32.133 | grep -f *</v>
      </c>
      <c r="P12" t="s">
        <v>85</v>
      </c>
      <c r="Q12" t="s">
        <v>92</v>
      </c>
      <c r="R12" t="str">
        <f t="shared" si="1"/>
        <v>diagnose firewall iprope lookup 44.168.32.133 80 10.201.0.104 80 tcp E2-EH-AGN</v>
      </c>
    </row>
    <row r="13" spans="1:18" x14ac:dyDescent="0.3">
      <c r="A13" t="s">
        <v>12</v>
      </c>
      <c r="B13" t="s">
        <v>13</v>
      </c>
      <c r="C13" t="s">
        <v>36</v>
      </c>
      <c r="D13" t="s">
        <v>37</v>
      </c>
      <c r="E13" t="s">
        <v>73</v>
      </c>
      <c r="I13" t="s">
        <v>16</v>
      </c>
      <c r="J13">
        <v>22</v>
      </c>
      <c r="K13">
        <v>22</v>
      </c>
      <c r="M13" t="s">
        <v>62</v>
      </c>
      <c r="N13" t="str">
        <f t="shared" si="0"/>
        <v>get router info routing-table details 44.168.32.144 | grep -f *</v>
      </c>
      <c r="P13" t="s">
        <v>85</v>
      </c>
      <c r="Q13" t="s">
        <v>92</v>
      </c>
      <c r="R13" t="str">
        <f t="shared" si="1"/>
        <v>diagnose firewall iprope lookup 44.168.32.144 22 10.201.0.104 22 tcp E2-EH-AGN</v>
      </c>
    </row>
    <row r="14" spans="1:18" x14ac:dyDescent="0.3">
      <c r="A14" t="s">
        <v>12</v>
      </c>
      <c r="B14" t="s">
        <v>13</v>
      </c>
      <c r="C14" t="s">
        <v>38</v>
      </c>
      <c r="D14" t="s">
        <v>37</v>
      </c>
      <c r="E14" t="s">
        <v>73</v>
      </c>
      <c r="I14" t="s">
        <v>16</v>
      </c>
      <c r="J14">
        <v>80</v>
      </c>
      <c r="K14">
        <v>80</v>
      </c>
      <c r="M14" t="s">
        <v>62</v>
      </c>
      <c r="N14" t="str">
        <f t="shared" si="0"/>
        <v>get router info routing-table details 44.168.32.144 | grep -f *</v>
      </c>
      <c r="P14" t="s">
        <v>85</v>
      </c>
      <c r="Q14" t="s">
        <v>92</v>
      </c>
      <c r="R14" t="str">
        <f t="shared" si="1"/>
        <v>diagnose firewall iprope lookup 44.168.32.144 80 10.201.0.104 80 tcp E2-EH-AGN</v>
      </c>
    </row>
    <row r="15" spans="1:18" x14ac:dyDescent="0.3">
      <c r="A15" t="s">
        <v>12</v>
      </c>
      <c r="B15" t="s">
        <v>13</v>
      </c>
      <c r="C15" t="s">
        <v>39</v>
      </c>
      <c r="D15" t="s">
        <v>40</v>
      </c>
      <c r="E15" t="s">
        <v>74</v>
      </c>
      <c r="I15" t="s">
        <v>16</v>
      </c>
      <c r="J15">
        <v>22</v>
      </c>
      <c r="K15">
        <v>22</v>
      </c>
      <c r="M15" t="s">
        <v>62</v>
      </c>
      <c r="N15" t="str">
        <f t="shared" si="0"/>
        <v>get router info routing-table details 44.168.32.136 | grep -f *</v>
      </c>
      <c r="P15" t="s">
        <v>85</v>
      </c>
      <c r="Q15" t="s">
        <v>92</v>
      </c>
      <c r="R15" t="str">
        <f t="shared" si="1"/>
        <v>diagnose firewall iprope lookup 44.168.32.136 22 10.201.0.104 22 tcp E2-EH-AGN</v>
      </c>
    </row>
    <row r="16" spans="1:18" x14ac:dyDescent="0.3">
      <c r="A16" t="s">
        <v>12</v>
      </c>
      <c r="B16" t="s">
        <v>13</v>
      </c>
      <c r="C16" t="s">
        <v>41</v>
      </c>
      <c r="D16" t="s">
        <v>42</v>
      </c>
      <c r="E16" t="s">
        <v>75</v>
      </c>
      <c r="I16" t="s">
        <v>16</v>
      </c>
      <c r="J16">
        <v>22</v>
      </c>
      <c r="K16">
        <v>22</v>
      </c>
      <c r="M16" t="s">
        <v>62</v>
      </c>
      <c r="N16" t="str">
        <f t="shared" si="0"/>
        <v>get router info routing-table details 44.168.32.145 | grep -f *</v>
      </c>
      <c r="P16" t="s">
        <v>85</v>
      </c>
      <c r="Q16" t="s">
        <v>92</v>
      </c>
      <c r="R16" t="str">
        <f t="shared" si="1"/>
        <v>diagnose firewall iprope lookup 44.168.32.145 22 10.201.0.104 22 tcp E2-EH-AGN</v>
      </c>
    </row>
    <row r="17" spans="1:18" x14ac:dyDescent="0.3">
      <c r="A17" t="s">
        <v>12</v>
      </c>
      <c r="B17" t="s">
        <v>13</v>
      </c>
      <c r="C17" t="s">
        <v>43</v>
      </c>
      <c r="D17" t="s">
        <v>42</v>
      </c>
      <c r="E17" t="s">
        <v>75</v>
      </c>
      <c r="I17" t="s">
        <v>16</v>
      </c>
      <c r="J17">
        <v>80</v>
      </c>
      <c r="K17">
        <v>80</v>
      </c>
      <c r="M17" t="s">
        <v>62</v>
      </c>
      <c r="N17" t="str">
        <f t="shared" si="0"/>
        <v>get router info routing-table details 44.168.32.145 | grep -f *</v>
      </c>
      <c r="P17" t="s">
        <v>85</v>
      </c>
      <c r="Q17" t="s">
        <v>92</v>
      </c>
      <c r="R17" t="str">
        <f t="shared" si="1"/>
        <v>diagnose firewall iprope lookup 44.168.32.145 80 10.201.0.104 80 tcp E2-EH-AGN</v>
      </c>
    </row>
    <row r="18" spans="1:18" x14ac:dyDescent="0.3">
      <c r="A18" t="s">
        <v>12</v>
      </c>
      <c r="B18" t="s">
        <v>13</v>
      </c>
      <c r="C18" t="s">
        <v>44</v>
      </c>
      <c r="D18" t="s">
        <v>45</v>
      </c>
      <c r="E18" t="s">
        <v>76</v>
      </c>
      <c r="I18" t="s">
        <v>16</v>
      </c>
      <c r="J18">
        <v>22</v>
      </c>
      <c r="K18">
        <v>22</v>
      </c>
      <c r="M18" t="s">
        <v>62</v>
      </c>
      <c r="N18" t="str">
        <f t="shared" si="0"/>
        <v>get router info routing-table details 10.222.65.102 | grep -f *</v>
      </c>
      <c r="P18" t="s">
        <v>91</v>
      </c>
      <c r="Q18" t="s">
        <v>92</v>
      </c>
      <c r="R18" t="str">
        <f t="shared" si="1"/>
        <v>diagnose firewall iprope lookup 10.222.65.102 22 10.201.0.104 22 tcp EH-VDI</v>
      </c>
    </row>
    <row r="19" spans="1:18" x14ac:dyDescent="0.3">
      <c r="A19" t="s">
        <v>12</v>
      </c>
      <c r="B19" t="s">
        <v>13</v>
      </c>
      <c r="C19" t="s">
        <v>46</v>
      </c>
      <c r="D19" t="s">
        <v>47</v>
      </c>
      <c r="E19" t="s">
        <v>77</v>
      </c>
      <c r="I19" t="s">
        <v>16</v>
      </c>
      <c r="J19">
        <v>22</v>
      </c>
      <c r="K19">
        <v>22</v>
      </c>
      <c r="M19" t="s">
        <v>62</v>
      </c>
      <c r="N19" t="str">
        <f t="shared" si="0"/>
        <v>get router info routing-table details 10.201.16.11 | grep -f *</v>
      </c>
      <c r="P19" t="s">
        <v>90</v>
      </c>
      <c r="Q19" t="s">
        <v>92</v>
      </c>
      <c r="R19" t="str">
        <f t="shared" si="1"/>
        <v>diagnose firewall iprope lookup 10.201.16.11 22 10.201.0.104 22 tcp E2-EH-CORE</v>
      </c>
    </row>
    <row r="20" spans="1:18" x14ac:dyDescent="0.3">
      <c r="A20" t="s">
        <v>12</v>
      </c>
      <c r="B20" t="s">
        <v>13</v>
      </c>
      <c r="C20" t="s">
        <v>48</v>
      </c>
      <c r="D20" t="s">
        <v>49</v>
      </c>
      <c r="E20" t="s">
        <v>78</v>
      </c>
      <c r="I20" t="s">
        <v>16</v>
      </c>
      <c r="J20">
        <v>9000</v>
      </c>
      <c r="K20">
        <v>9000</v>
      </c>
      <c r="M20" t="s">
        <v>62</v>
      </c>
      <c r="N20" t="str">
        <f t="shared" si="0"/>
        <v>get router info routing-table details 10.202.167.238 | grep -f *</v>
      </c>
      <c r="P20" t="s">
        <v>85</v>
      </c>
      <c r="Q20" t="s">
        <v>92</v>
      </c>
      <c r="R20" t="str">
        <f t="shared" si="1"/>
        <v>diagnose firewall iprope lookup 10.202.167.238 9000 10.201.0.104 9000 tcp E2-EH-AGN</v>
      </c>
    </row>
    <row r="21" spans="1:18" x14ac:dyDescent="0.3">
      <c r="A21" t="s">
        <v>12</v>
      </c>
      <c r="B21" t="s">
        <v>13</v>
      </c>
      <c r="C21" t="s">
        <v>50</v>
      </c>
      <c r="D21" t="s">
        <v>51</v>
      </c>
      <c r="E21" t="s">
        <v>79</v>
      </c>
      <c r="I21" t="s">
        <v>16</v>
      </c>
      <c r="J21">
        <v>22</v>
      </c>
      <c r="K21">
        <v>22</v>
      </c>
      <c r="M21" t="s">
        <v>62</v>
      </c>
      <c r="N21" t="str">
        <f t="shared" si="0"/>
        <v>get router info routing-table details 10.201.4.232 | grep -f *</v>
      </c>
      <c r="P21" t="s">
        <v>89</v>
      </c>
      <c r="Q21" t="s">
        <v>92</v>
      </c>
      <c r="R21" t="str">
        <f t="shared" si="1"/>
        <v>diagnose firewall iprope lookup 10.201.4.232 22 10.201.0.104 22 tcp E2-EH-CRITICAL</v>
      </c>
    </row>
    <row r="22" spans="1:18" x14ac:dyDescent="0.3">
      <c r="A22" t="s">
        <v>12</v>
      </c>
      <c r="B22" t="s">
        <v>13</v>
      </c>
      <c r="C22" t="s">
        <v>52</v>
      </c>
      <c r="D22" t="s">
        <v>53</v>
      </c>
      <c r="E22" t="s">
        <v>80</v>
      </c>
      <c r="I22" t="s">
        <v>16</v>
      </c>
      <c r="J22">
        <v>22</v>
      </c>
      <c r="K22">
        <v>22</v>
      </c>
      <c r="M22" t="s">
        <v>62</v>
      </c>
      <c r="N22" t="str">
        <f t="shared" si="0"/>
        <v>get router info routing-table details 10.201.48.46 | grep -f *</v>
      </c>
      <c r="P22" t="s">
        <v>88</v>
      </c>
      <c r="Q22" t="s">
        <v>92</v>
      </c>
      <c r="R22" t="str">
        <f t="shared" si="1"/>
        <v>diagnose firewall iprope lookup 10.201.48.46 22 10.201.0.104 22 tcp E2-EH-VDI-EXT</v>
      </c>
    </row>
    <row r="23" spans="1:18" x14ac:dyDescent="0.3">
      <c r="A23" t="s">
        <v>12</v>
      </c>
      <c r="B23" t="s">
        <v>13</v>
      </c>
      <c r="C23" t="s">
        <v>54</v>
      </c>
      <c r="D23" t="s">
        <v>55</v>
      </c>
      <c r="E23" t="s">
        <v>81</v>
      </c>
      <c r="I23" t="s">
        <v>16</v>
      </c>
      <c r="J23">
        <v>22</v>
      </c>
      <c r="K23">
        <v>22</v>
      </c>
      <c r="M23" t="s">
        <v>62</v>
      </c>
      <c r="N23" t="str">
        <f t="shared" si="0"/>
        <v>get router info routing-table details 10.201.48.242 | grep -f *</v>
      </c>
      <c r="P23" t="s">
        <v>88</v>
      </c>
      <c r="Q23" t="s">
        <v>92</v>
      </c>
      <c r="R23" t="str">
        <f t="shared" si="1"/>
        <v>diagnose firewall iprope lookup 10.201.48.242 22 10.201.0.104 22 tcp E2-EH-VDI-EXT</v>
      </c>
    </row>
    <row r="24" spans="1:18" x14ac:dyDescent="0.3">
      <c r="A24" t="s">
        <v>12</v>
      </c>
      <c r="B24" t="s">
        <v>13</v>
      </c>
      <c r="C24" t="s">
        <v>56</v>
      </c>
      <c r="D24" t="s">
        <v>57</v>
      </c>
      <c r="E24" t="s">
        <v>82</v>
      </c>
      <c r="I24" t="s">
        <v>16</v>
      </c>
      <c r="J24">
        <v>22</v>
      </c>
      <c r="K24">
        <v>22</v>
      </c>
      <c r="M24" t="s">
        <v>62</v>
      </c>
      <c r="N24" t="str">
        <f t="shared" si="0"/>
        <v>get router info routing-table details 44.119.8.158 | grep -f *</v>
      </c>
      <c r="P24" t="s">
        <v>85</v>
      </c>
      <c r="Q24" t="s">
        <v>92</v>
      </c>
      <c r="R24" t="str">
        <f t="shared" si="1"/>
        <v>diagnose firewall iprope lookup 44.119.8.158 22 10.201.0.104 22 tcp E2-EH-AGN</v>
      </c>
    </row>
    <row r="25" spans="1:18" x14ac:dyDescent="0.3">
      <c r="A25" t="s">
        <v>12</v>
      </c>
      <c r="B25" t="s">
        <v>13</v>
      </c>
      <c r="C25" t="s">
        <v>58</v>
      </c>
      <c r="D25" t="s">
        <v>59</v>
      </c>
      <c r="E25" t="s">
        <v>83</v>
      </c>
      <c r="I25" t="s">
        <v>16</v>
      </c>
      <c r="J25">
        <v>22</v>
      </c>
      <c r="K25">
        <v>22</v>
      </c>
      <c r="M25" t="s">
        <v>62</v>
      </c>
      <c r="N25" t="str">
        <f t="shared" si="0"/>
        <v>get router info routing-table details 10.222.133.66 | grep -f *</v>
      </c>
      <c r="P25" t="s">
        <v>85</v>
      </c>
      <c r="Q25" t="s">
        <v>92</v>
      </c>
      <c r="R25" t="str">
        <f t="shared" si="1"/>
        <v>diagnose firewall iprope lookup 10.222.133.66 22 10.201.0.104 22 tcp E2-EH-AGN</v>
      </c>
    </row>
    <row r="26" spans="1:18" x14ac:dyDescent="0.3">
      <c r="A26" t="s">
        <v>12</v>
      </c>
      <c r="B26" t="s">
        <v>13</v>
      </c>
      <c r="C26" t="s">
        <v>60</v>
      </c>
      <c r="D26" t="s">
        <v>61</v>
      </c>
      <c r="E26" t="s">
        <v>84</v>
      </c>
      <c r="I26" t="s">
        <v>16</v>
      </c>
      <c r="J26">
        <v>22</v>
      </c>
      <c r="K26">
        <v>22</v>
      </c>
      <c r="M26" t="s">
        <v>62</v>
      </c>
      <c r="N26" t="str">
        <f t="shared" si="0"/>
        <v>get router info routing-table details 10.222.130.72 | grep -f *</v>
      </c>
      <c r="P26" t="s">
        <v>85</v>
      </c>
      <c r="Q26" t="s">
        <v>92</v>
      </c>
      <c r="R26" t="str">
        <f t="shared" si="1"/>
        <v>diagnose firewall iprope lookup 10.222.130.72 22 10.201.0.104 22 tcp E2-EH-AGN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3618-05F3-4A5B-B770-6FC8B2583B30}">
  <dimension ref="A1:A76"/>
  <sheetViews>
    <sheetView tabSelected="1" workbookViewId="0">
      <selection sqref="A1:A76"/>
    </sheetView>
  </sheetViews>
  <sheetFormatPr defaultRowHeight="14" x14ac:dyDescent="0.3"/>
  <sheetData>
    <row r="1" spans="1:1" x14ac:dyDescent="0.3">
      <c r="A1" t="s">
        <v>93</v>
      </c>
    </row>
    <row r="2" spans="1:1" x14ac:dyDescent="0.3">
      <c r="A2" t="s">
        <v>94</v>
      </c>
    </row>
    <row r="4" spans="1:1" x14ac:dyDescent="0.3">
      <c r="A4" t="s">
        <v>95</v>
      </c>
    </row>
    <row r="5" spans="1:1" x14ac:dyDescent="0.3">
      <c r="A5" t="s">
        <v>96</v>
      </c>
    </row>
    <row r="7" spans="1:1" x14ac:dyDescent="0.3">
      <c r="A7" t="s">
        <v>97</v>
      </c>
    </row>
    <row r="8" spans="1:1" x14ac:dyDescent="0.3">
      <c r="A8" t="s">
        <v>98</v>
      </c>
    </row>
    <row r="10" spans="1:1" x14ac:dyDescent="0.3">
      <c r="A10" t="s">
        <v>99</v>
      </c>
    </row>
    <row r="11" spans="1:1" x14ac:dyDescent="0.3">
      <c r="A11" t="s">
        <v>100</v>
      </c>
    </row>
    <row r="13" spans="1:1" x14ac:dyDescent="0.3">
      <c r="A13" t="s">
        <v>101</v>
      </c>
    </row>
    <row r="14" spans="1:1" x14ac:dyDescent="0.3">
      <c r="A14" t="s">
        <v>102</v>
      </c>
    </row>
    <row r="16" spans="1:1" x14ac:dyDescent="0.3">
      <c r="A16" t="s">
        <v>103</v>
      </c>
    </row>
    <row r="17" spans="1:1" x14ac:dyDescent="0.3">
      <c r="A17" t="s">
        <v>104</v>
      </c>
    </row>
    <row r="19" spans="1:1" x14ac:dyDescent="0.3">
      <c r="A19" t="s">
        <v>105</v>
      </c>
    </row>
    <row r="20" spans="1:1" x14ac:dyDescent="0.3">
      <c r="A20" t="s">
        <v>106</v>
      </c>
    </row>
    <row r="22" spans="1:1" x14ac:dyDescent="0.3">
      <c r="A22" t="s">
        <v>107</v>
      </c>
    </row>
    <row r="23" spans="1:1" x14ac:dyDescent="0.3">
      <c r="A23" t="s">
        <v>108</v>
      </c>
    </row>
    <row r="25" spans="1:1" x14ac:dyDescent="0.3">
      <c r="A25" t="s">
        <v>109</v>
      </c>
    </row>
    <row r="26" spans="1:1" x14ac:dyDescent="0.3">
      <c r="A26" t="s">
        <v>110</v>
      </c>
    </row>
    <row r="28" spans="1:1" x14ac:dyDescent="0.3">
      <c r="A28" t="s">
        <v>111</v>
      </c>
    </row>
    <row r="29" spans="1:1" x14ac:dyDescent="0.3">
      <c r="A29" t="s">
        <v>112</v>
      </c>
    </row>
    <row r="31" spans="1:1" x14ac:dyDescent="0.3">
      <c r="A31" t="s">
        <v>113</v>
      </c>
    </row>
    <row r="32" spans="1:1" x14ac:dyDescent="0.3">
      <c r="A32" t="s">
        <v>114</v>
      </c>
    </row>
    <row r="34" spans="1:1" x14ac:dyDescent="0.3">
      <c r="A34" t="s">
        <v>115</v>
      </c>
    </row>
    <row r="35" spans="1:1" x14ac:dyDescent="0.3">
      <c r="A35" t="s">
        <v>116</v>
      </c>
    </row>
    <row r="37" spans="1:1" x14ac:dyDescent="0.3">
      <c r="A37" t="s">
        <v>117</v>
      </c>
    </row>
    <row r="38" spans="1:1" x14ac:dyDescent="0.3">
      <c r="A38" t="s">
        <v>118</v>
      </c>
    </row>
    <row r="40" spans="1:1" x14ac:dyDescent="0.3">
      <c r="A40" t="s">
        <v>119</v>
      </c>
    </row>
    <row r="41" spans="1:1" x14ac:dyDescent="0.3">
      <c r="A41" t="s">
        <v>120</v>
      </c>
    </row>
    <row r="43" spans="1:1" x14ac:dyDescent="0.3">
      <c r="A43" t="s">
        <v>121</v>
      </c>
    </row>
    <row r="44" spans="1:1" x14ac:dyDescent="0.3">
      <c r="A44" t="s">
        <v>122</v>
      </c>
    </row>
    <row r="46" spans="1:1" x14ac:dyDescent="0.3">
      <c r="A46" t="s">
        <v>123</v>
      </c>
    </row>
    <row r="47" spans="1:1" x14ac:dyDescent="0.3">
      <c r="A47" t="s">
        <v>124</v>
      </c>
    </row>
    <row r="49" spans="1:1" x14ac:dyDescent="0.3">
      <c r="A49" t="s">
        <v>125</v>
      </c>
    </row>
    <row r="50" spans="1:1" x14ac:dyDescent="0.3">
      <c r="A50" t="s">
        <v>126</v>
      </c>
    </row>
    <row r="52" spans="1:1" x14ac:dyDescent="0.3">
      <c r="A52" t="s">
        <v>127</v>
      </c>
    </row>
    <row r="53" spans="1:1" x14ac:dyDescent="0.3">
      <c r="A53" t="s">
        <v>128</v>
      </c>
    </row>
    <row r="55" spans="1:1" x14ac:dyDescent="0.3">
      <c r="A55" t="s">
        <v>129</v>
      </c>
    </row>
    <row r="56" spans="1:1" x14ac:dyDescent="0.3">
      <c r="A56" t="s">
        <v>130</v>
      </c>
    </row>
    <row r="58" spans="1:1" x14ac:dyDescent="0.3">
      <c r="A58" t="s">
        <v>131</v>
      </c>
    </row>
    <row r="59" spans="1:1" x14ac:dyDescent="0.3">
      <c r="A59" t="s">
        <v>132</v>
      </c>
    </row>
    <row r="61" spans="1:1" x14ac:dyDescent="0.3">
      <c r="A61" t="s">
        <v>133</v>
      </c>
    </row>
    <row r="62" spans="1:1" x14ac:dyDescent="0.3">
      <c r="A62" t="s">
        <v>134</v>
      </c>
    </row>
    <row r="64" spans="1:1" x14ac:dyDescent="0.3">
      <c r="A64" t="s">
        <v>135</v>
      </c>
    </row>
    <row r="65" spans="1:1" x14ac:dyDescent="0.3">
      <c r="A65" t="s">
        <v>136</v>
      </c>
    </row>
    <row r="67" spans="1:1" x14ac:dyDescent="0.3">
      <c r="A67" t="s">
        <v>137</v>
      </c>
    </row>
    <row r="68" spans="1:1" x14ac:dyDescent="0.3">
      <c r="A68" t="s">
        <v>138</v>
      </c>
    </row>
    <row r="70" spans="1:1" x14ac:dyDescent="0.3">
      <c r="A70" t="s">
        <v>139</v>
      </c>
    </row>
    <row r="71" spans="1:1" x14ac:dyDescent="0.3">
      <c r="A71" t="s">
        <v>140</v>
      </c>
    </row>
    <row r="73" spans="1:1" x14ac:dyDescent="0.3">
      <c r="A73" t="s">
        <v>141</v>
      </c>
    </row>
    <row r="74" spans="1:1" x14ac:dyDescent="0.3">
      <c r="A74" t="s">
        <v>142</v>
      </c>
    </row>
    <row r="76" spans="1:1" x14ac:dyDescent="0.3">
      <c r="A7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10.201.0.104_ads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2025-12-15T13:47:41Z</dcterms:created>
  <dcterms:modified xsi:type="dcterms:W3CDTF">2025-12-15T14:39:13Z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2025-12-15T13:47:41Z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bb502da8-f609-4593-87c0-86528191e2ea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