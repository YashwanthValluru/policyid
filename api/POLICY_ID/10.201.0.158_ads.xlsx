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A\Downloads\Swapnendu\"/>
    </mc:Choice>
  </mc:AlternateContent>
  <xr:revisionPtr revIDLastSave="0" documentId="13_ncr:1_{012A3FD2-FFCD-4E4B-B0A9-113F47BED123}" xr6:coauthVersionLast="47" xr6:coauthVersionMax="47" xr10:uidLastSave="{00000000-0000-0000-0000-000000000000}"/>
  <bookViews>
    <workbookView xWindow="-110" yWindow="-110" windowWidth="19420" windowHeight="11500" xr2:uid="{95BBA4A0-F545-4A13-B5DD-23E4BB1623B8}"/>
  </bookViews>
  <sheets>
    <sheet name="10.201.0.158_a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R3" i="1"/>
  <c r="R4" i="1"/>
  <c r="R5" i="1"/>
  <c r="R6" i="1"/>
  <c r="R7" i="1"/>
  <c r="R8" i="1"/>
  <c r="R9" i="1"/>
  <c r="R10" i="1"/>
  <c r="R11" i="1"/>
  <c r="R12" i="1"/>
  <c r="R13" i="1"/>
  <c r="R14" i="1"/>
  <c r="R2" i="1"/>
  <c r="O3" i="1"/>
  <c r="O4" i="1"/>
  <c r="O5" i="1"/>
  <c r="O6" i="1"/>
  <c r="O7" i="1"/>
  <c r="O8" i="1"/>
  <c r="O9" i="1"/>
  <c r="O10" i="1"/>
  <c r="O11" i="1"/>
  <c r="O12" i="1"/>
  <c r="O13" i="1"/>
  <c r="O14" i="1"/>
</calcChain>
</file>

<file path=xl/sharedStrings.xml><?xml version="1.0" encoding="utf-8"?>
<sst xmlns="http://schemas.openxmlformats.org/spreadsheetml/2006/main" count="156" uniqueCount="88">
  <si>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</si>
  <si>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</si>
  <si>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</si>
  <si>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</si>
  <si>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</si>
  <si>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</si>
  <si>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</si>
  <si>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</si>
  <si>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</si>
  <si>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</si>
  <si>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</si>
  <si>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</si>
  <si>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</si>
  <si>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</si>
  <si>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</si>
  <si>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10.72.42.5</t>
  </si>
  <si>
    <t>tcp</t>
  </si>
  <si>
    <t>ads-rule-10009</t>
  </si>
  <si>
    <t>From ADS data. Allow from 10.201.3.245</t>
  </si>
  <si>
    <t>ads-rule-10011</t>
  </si>
  <si>
    <t>From ADS data. Allow from 10.201.32.242</t>
  </si>
  <si>
    <t>ads-rule-10013</t>
  </si>
  <si>
    <t>From ADS data. Allow from 44.119.8.132</t>
  </si>
  <si>
    <t>ads-rule-10015</t>
  </si>
  <si>
    <t>From ADS data. Allow from 44.168.32.133</t>
  </si>
  <si>
    <t>ads-rule-10016</t>
  </si>
  <si>
    <t>From ADS data. Allow from 44.168.32.144</t>
  </si>
  <si>
    <t>ads-rule-10017</t>
  </si>
  <si>
    <t>From ADS data. Allow from 44.168.32.136</t>
  </si>
  <si>
    <t>ads-rule-10018</t>
  </si>
  <si>
    <t>From ADS data. Allow from 44.168.32.145</t>
  </si>
  <si>
    <t>ads-rule-10020</t>
  </si>
  <si>
    <t>From ADS data. Allow from 44.119.8.40</t>
  </si>
  <si>
    <t>ads-rule-10024</t>
  </si>
  <si>
    <t>From ADS data. Allow from 10.201.3.52</t>
  </si>
  <si>
    <t>ads-rule-10025</t>
  </si>
  <si>
    <t>From ADS data. Allow from 10.222.64.240</t>
  </si>
  <si>
    <t>ads-rule-10026</t>
  </si>
  <si>
    <t>From ADS data. Allow from 10.201.58.30</t>
  </si>
  <si>
    <t>ads-rule-10027</t>
  </si>
  <si>
    <t>From ADS data. Allow from 44.119.8.158</t>
  </si>
  <si>
    <t>get router info routing-table details</t>
  </si>
  <si>
    <t>EH-VDI</t>
  </si>
  <si>
    <t>diagnose firewall iprope lookup</t>
  </si>
  <si>
    <t>10.72.42.5</t>
  </si>
  <si>
    <t>10.201.3.245</t>
  </si>
  <si>
    <t>10.201.32.242</t>
  </si>
  <si>
    <t>44.119.8.132</t>
  </si>
  <si>
    <t>44.168.32.133</t>
  </si>
  <si>
    <t>44.168.32.144</t>
  </si>
  <si>
    <t>44.168.32.136</t>
  </si>
  <si>
    <t>44.168.32.145</t>
  </si>
  <si>
    <t>44.119.8.40</t>
  </si>
  <si>
    <t>10.201.3.52</t>
  </si>
  <si>
    <t>10.222.64.240</t>
  </si>
  <si>
    <t>10.201.58.30</t>
  </si>
  <si>
    <t>44.119.8.158</t>
  </si>
  <si>
    <t>E2-EH-AGN</t>
  </si>
  <si>
    <t>E2-EH-ADMOPE-1</t>
  </si>
  <si>
    <t>E2-EH-PART</t>
  </si>
  <si>
    <t>E2-EH-DEVJUMP</t>
  </si>
  <si>
    <t>FR-E2-FW-EH-1-FNET $ diagnose firewall iprope lookup 10.72.42.5 22 10.201.0.158 22 tcp E2-EH-AGN</t>
  </si>
  <si>
    <t>&lt;src [10.72.42.5-22] dst [10.201.0.158-22] proto tcp dev E2-EH-AGN&gt; matches policy id: 8870</t>
  </si>
  <si>
    <t>FR-E2-FW-EH-1-FNET $ diagnose firewall iprope lookup 10.201.3.245 21111 10.201.0.158 21111 tcp E2-EH-ADMOPE-1</t>
  </si>
  <si>
    <t>&lt;src [10.201.3.245-21111] dst [10.201.0.158-21111] proto tcp dev E2-EH-ADMOPE-1&gt; matches policy id: 3647</t>
  </si>
  <si>
    <t>FR-E2-FW-EH-1-FNET $ diagnose firewall iprope lookup 10.201.32.242 22 10.201.0.158 22 tcp E2-EH-PART</t>
  </si>
  <si>
    <t>&lt;src [10.201.32.242-22] dst [10.201.0.158-22] proto tcp dev E2-EH-PART&gt; matches policy id: 5310</t>
  </si>
  <si>
    <t>FR-E2-FW-EH-1-FNET $ diagnose firewall iprope lookup 44.119.8.132 6600 10.201.0.158 6600 tcp E2-EH-AGN</t>
  </si>
  <si>
    <t>&lt;src [44.119.8.132-6600] dst [10.201.0.158-6600] proto tcp dev E2-EH-AGN&gt; matches policy id: 8184</t>
  </si>
  <si>
    <t>FR-E2-FW-EH-1-FNET $ diagnose firewall iprope lookup 44.168.32.133 22 10.201.0.158 22 tcp E2-EH-AGN</t>
  </si>
  <si>
    <t>&lt;src [44.168.32.133-22] dst [10.201.0.158-22] proto tcp dev E2-EH-AGN&gt; matches policy id: 4151</t>
  </si>
  <si>
    <t>FR-E2-FW-EH-1-FNET $ diagnose firewall iprope lookup 44.168.32.144 22 10.201.0.158 22 tcp E2-EH-AGN</t>
  </si>
  <si>
    <t>&lt;src [44.168.32.144-22] dst [10.201.0.158-22] proto tcp dev E2-EH-AGN&gt; matches policy id: 4151</t>
  </si>
  <si>
    <t>FR-E2-FW-EH-1-FNET $ diagnose firewall iprope lookup 44.168.32.136 22 10.201.0.158 22 tcp E2-EH-AGN</t>
  </si>
  <si>
    <t>&lt;src [44.168.32.136-22] dst [10.201.0.158-22] proto tcp dev E2-EH-AGN&gt; matches policy id: 4151</t>
  </si>
  <si>
    <t>FR-E2-FW-EH-1-FNET $ diagnose firewall iprope lookup 44.168.32.145 22 10.201.0.158 22 tcp E2-EH-AGN</t>
  </si>
  <si>
    <t>&lt;src [44.168.32.145-22] dst [10.201.0.158-22] proto tcp dev E2-EH-AGN&gt; matches policy id: 4151</t>
  </si>
  <si>
    <t>FR-E2-FW-EH-1-FNET $ diagnose firewall iprope lookup 44.119.8.40 22 10.201.0.158 22 tcp E2-EH-AGN</t>
  </si>
  <si>
    <t>&lt;src [44.119.8.40-22] dst [10.201.0.158-22] proto tcp dev E2-EH-AGN&gt; matches policy id: 8184</t>
  </si>
  <si>
    <t>FR-E2-FW-EH-1-FNET $ diagnose firewall iprope lookup 10.201.3.52 22 10.201.0.158 22 tcp E2-EH-ADMOPE-1</t>
  </si>
  <si>
    <t>&lt;src [10.201.3.52-22] dst [10.201.0.158-22] proto tcp dev E2-EH-ADMOPE-1&gt; matches policy id: 683</t>
  </si>
  <si>
    <t>FR-E2-FW-EH-1-FNET $ diagnose firewall iprope lookup 10.222.64.240 22 10.201.0.158 22 tcp EH-VDI</t>
  </si>
  <si>
    <t>&lt;src [10.222.64.240-22] dst [10.201.0.158-22] proto tcp dev EH-VDI&gt; matches policy id: 4151</t>
  </si>
  <si>
    <t>FR-E2-FW-EH-1-FNET $ diagnose firewall iprope lookup 10.201.58.30 22 10.201.0.158 22 tcp E2-EH-DEVJUMP</t>
  </si>
  <si>
    <t>&lt;src [10.201.58.30-22] dst [10.201.0.158-22] proto tcp dev E2-EH-DEVJUMP&gt; matches policy id: 3570</t>
  </si>
  <si>
    <t>FR-E2-FW-EH-1-FNET $ diagnose firewall iprope lookup 44.119.8.158 22 10.201.0.158 22 tcp E2-EH-AGN</t>
  </si>
  <si>
    <t>&lt;src [44.119.8.158-22] dst [10.201.0.158-22] proto tcp dev E2-EH-AGN&gt; matches policy id: 8184</t>
  </si>
  <si>
    <t>FR-E2-FW-EH-1-FNET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</si>
</sst>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AA38-9886-4E34-99F3-1CF2DCA8F7A1}">
  <dimension ref="A1:R14"/>
  <sheetViews>
    <sheetView tabSelected="1" zoomScale="70" zoomScaleNormal="70" workbookViewId="0">
      <selection activeCell="Q2" sqref="Q2"/>
    </sheetView>
  </sheetViews>
  <sheetFormatPr defaultRowHeight="14" x14ac:dyDescent="0.3"/>
  <cols>
    <col min="13" max="13" width="28.25" bestFit="1" customWidth="1"/>
    <col min="15" max="15" width="48.1640625" bestFit="1" customWidth="1"/>
    <col min="16" max="16" width="16.5" bestFit="1" customWidth="1"/>
    <col min="17" max="17" width="25.75" bestFit="1" customWidth="1"/>
    <col min="18" max="18" width="78.9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" x14ac:dyDescent="0.3">
      <c r="A2" t="s">
        <v>12</v>
      </c>
      <c r="B2" t="s">
        <v>13</v>
      </c>
      <c r="C2" t="s">
        <v>14</v>
      </c>
      <c r="D2" t="s">
        <v>15</v>
      </c>
      <c r="E2" t="s">
        <v>44</v>
      </c>
      <c r="I2" t="s">
        <v>16</v>
      </c>
      <c r="J2">
        <v>22</v>
      </c>
      <c r="K2">
        <v>22</v>
      </c>
      <c r="M2" t="s">
        <v>41</v>
      </c>
      <c r="O2" t="str">
        <f>_xlfn.CONCAT(M2," ",E2, " | grep -f *")</f>
        <v>get router info routing-table details 10.72.42.5 | grep -f *</v>
      </c>
      <c r="P2" t="s">
        <v>57</v>
      </c>
      <c r="Q2" t="s">
        <v>43</v>
      </c>
      <c r="R2" t="str">
        <f>_xlfn.CONCAT(Q2," ", E2, " ",J2," 10.201.0.158 ",K2," tcp ",P2 )</f>
        <v>diagnose firewall iprope lookup 10.72.42.5 22 10.201.0.158 22 tcp E2-EH-AGN</v>
      </c>
    </row>
    <row r="3" spans="1:18" x14ac:dyDescent="0.3">
      <c r="A3" t="s">
        <v>12</v>
      </c>
      <c r="B3" t="s">
        <v>13</v>
      </c>
      <c r="C3" t="s">
        <v>17</v>
      </c>
      <c r="D3" t="s">
        <v>18</v>
      </c>
      <c r="E3" t="s">
        <v>45</v>
      </c>
      <c r="I3" t="s">
        <v>16</v>
      </c>
      <c r="J3">
        <v>21111</v>
      </c>
      <c r="K3">
        <v>21111</v>
      </c>
      <c r="M3" t="s">
        <v>41</v>
      </c>
      <c r="O3" t="str">
        <f t="shared" ref="O3:O14" si="0">_xlfn.CONCAT(M3," ",E3, " | grep -f *")</f>
        <v>get router info routing-table details 10.201.3.245 | grep -f *</v>
      </c>
      <c r="P3" t="s">
        <v>58</v>
      </c>
      <c r="Q3" t="s">
        <v>43</v>
      </c>
      <c r="R3" t="str">
        <f t="shared" ref="R3:R14" si="1">_xlfn.CONCAT(Q3," ", E3, " ",J3," 10.201.0.158 ",K3," tcp ",P3 )</f>
        <v>diagnose firewall iprope lookup 10.201.3.245 21111 10.201.0.158 21111 tcp E2-EH-ADMOPE-1</v>
      </c>
    </row>
    <row r="4" spans="1:18" x14ac:dyDescent="0.3">
      <c r="A4" t="s">
        <v>12</v>
      </c>
      <c r="B4" t="s">
        <v>13</v>
      </c>
      <c r="C4" t="s">
        <v>19</v>
      </c>
      <c r="D4" t="s">
        <v>20</v>
      </c>
      <c r="E4" t="s">
        <v>46</v>
      </c>
      <c r="I4" t="s">
        <v>16</v>
      </c>
      <c r="J4">
        <v>22</v>
      </c>
      <c r="K4">
        <v>22</v>
      </c>
      <c r="M4" t="s">
        <v>41</v>
      </c>
      <c r="O4" t="str">
        <f t="shared" si="0"/>
        <v>get router info routing-table details 10.201.32.242 | grep -f *</v>
      </c>
      <c r="P4" t="s">
        <v>59</v>
      </c>
      <c r="Q4" t="s">
        <v>43</v>
      </c>
      <c r="R4" t="str">
        <f t="shared" si="1"/>
        <v>diagnose firewall iprope lookup 10.201.32.242 22 10.201.0.158 22 tcp E2-EH-PART</v>
      </c>
    </row>
    <row r="5" spans="1:18" x14ac:dyDescent="0.3">
      <c r="A5" t="s">
        <v>12</v>
      </c>
      <c r="B5" t="s">
        <v>13</v>
      </c>
      <c r="C5" t="s">
        <v>21</v>
      </c>
      <c r="D5" t="s">
        <v>22</v>
      </c>
      <c r="E5" t="s">
        <v>47</v>
      </c>
      <c r="I5" t="s">
        <v>16</v>
      </c>
      <c r="J5">
        <v>6600</v>
      </c>
      <c r="K5">
        <v>6600</v>
      </c>
      <c r="M5" t="s">
        <v>41</v>
      </c>
      <c r="O5" t="str">
        <f t="shared" si="0"/>
        <v>get router info routing-table details 44.119.8.132 | grep -f *</v>
      </c>
      <c r="P5" t="s">
        <v>57</v>
      </c>
      <c r="Q5" t="s">
        <v>43</v>
      </c>
      <c r="R5" t="str">
        <f t="shared" si="1"/>
        <v>diagnose firewall iprope lookup 44.119.8.132 6600 10.201.0.158 6600 tcp E2-EH-AGN</v>
      </c>
    </row>
    <row r="6" spans="1:18" x14ac:dyDescent="0.3">
      <c r="A6" t="s">
        <v>12</v>
      </c>
      <c r="B6" t="s">
        <v>13</v>
      </c>
      <c r="C6" t="s">
        <v>23</v>
      </c>
      <c r="D6" t="s">
        <v>24</v>
      </c>
      <c r="E6" t="s">
        <v>48</v>
      </c>
      <c r="I6" t="s">
        <v>16</v>
      </c>
      <c r="J6">
        <v>22</v>
      </c>
      <c r="K6">
        <v>22</v>
      </c>
      <c r="M6" t="s">
        <v>41</v>
      </c>
      <c r="O6" t="str">
        <f t="shared" si="0"/>
        <v>get router info routing-table details 44.168.32.133 | grep -f *</v>
      </c>
      <c r="P6" t="s">
        <v>57</v>
      </c>
      <c r="Q6" t="s">
        <v>43</v>
      </c>
      <c r="R6" t="str">
        <f t="shared" si="1"/>
        <v>diagnose firewall iprope lookup 44.168.32.133 22 10.201.0.158 22 tcp E2-EH-AGN</v>
      </c>
    </row>
    <row r="7" spans="1:18" x14ac:dyDescent="0.3">
      <c r="A7" t="s">
        <v>12</v>
      </c>
      <c r="B7" t="s">
        <v>13</v>
      </c>
      <c r="C7" t="s">
        <v>25</v>
      </c>
      <c r="D7" t="s">
        <v>26</v>
      </c>
      <c r="E7" t="s">
        <v>49</v>
      </c>
      <c r="I7" t="s">
        <v>16</v>
      </c>
      <c r="J7">
        <v>22</v>
      </c>
      <c r="K7">
        <v>22</v>
      </c>
      <c r="M7" t="s">
        <v>41</v>
      </c>
      <c r="O7" t="str">
        <f t="shared" si="0"/>
        <v>get router info routing-table details 44.168.32.144 | grep -f *</v>
      </c>
      <c r="P7" t="s">
        <v>57</v>
      </c>
      <c r="Q7" t="s">
        <v>43</v>
      </c>
      <c r="R7" t="str">
        <f t="shared" si="1"/>
        <v>diagnose firewall iprope lookup 44.168.32.144 22 10.201.0.158 22 tcp E2-EH-AGN</v>
      </c>
    </row>
    <row r="8" spans="1:18" x14ac:dyDescent="0.3">
      <c r="A8" t="s">
        <v>12</v>
      </c>
      <c r="B8" t="s">
        <v>13</v>
      </c>
      <c r="C8" t="s">
        <v>27</v>
      </c>
      <c r="D8" t="s">
        <v>28</v>
      </c>
      <c r="E8" t="s">
        <v>50</v>
      </c>
      <c r="I8" t="s">
        <v>16</v>
      </c>
      <c r="J8">
        <v>22</v>
      </c>
      <c r="K8">
        <v>22</v>
      </c>
      <c r="M8" t="s">
        <v>41</v>
      </c>
      <c r="O8" t="str">
        <f t="shared" si="0"/>
        <v>get router info routing-table details 44.168.32.136 | grep -f *</v>
      </c>
      <c r="P8" t="s">
        <v>57</v>
      </c>
      <c r="Q8" t="s">
        <v>43</v>
      </c>
      <c r="R8" t="str">
        <f t="shared" si="1"/>
        <v>diagnose firewall iprope lookup 44.168.32.136 22 10.201.0.158 22 tcp E2-EH-AGN</v>
      </c>
    </row>
    <row r="9" spans="1:18" x14ac:dyDescent="0.3">
      <c r="A9" t="s">
        <v>12</v>
      </c>
      <c r="B9" t="s">
        <v>13</v>
      </c>
      <c r="C9" t="s">
        <v>29</v>
      </c>
      <c r="D9" t="s">
        <v>30</v>
      </c>
      <c r="E9" t="s">
        <v>51</v>
      </c>
      <c r="I9" t="s">
        <v>16</v>
      </c>
      <c r="J9">
        <v>22</v>
      </c>
      <c r="K9">
        <v>22</v>
      </c>
      <c r="M9" t="s">
        <v>41</v>
      </c>
      <c r="O9" t="str">
        <f t="shared" si="0"/>
        <v>get router info routing-table details 44.168.32.145 | grep -f *</v>
      </c>
      <c r="P9" t="s">
        <v>57</v>
      </c>
      <c r="Q9" t="s">
        <v>43</v>
      </c>
      <c r="R9" t="str">
        <f t="shared" si="1"/>
        <v>diagnose firewall iprope lookup 44.168.32.145 22 10.201.0.158 22 tcp E2-EH-AGN</v>
      </c>
    </row>
    <row r="10" spans="1:18" x14ac:dyDescent="0.3">
      <c r="A10" t="s">
        <v>12</v>
      </c>
      <c r="B10" t="s">
        <v>13</v>
      </c>
      <c r="C10" t="s">
        <v>31</v>
      </c>
      <c r="D10" t="s">
        <v>32</v>
      </c>
      <c r="E10" t="s">
        <v>52</v>
      </c>
      <c r="I10" t="s">
        <v>16</v>
      </c>
      <c r="J10">
        <v>22</v>
      </c>
      <c r="K10">
        <v>22</v>
      </c>
      <c r="M10" t="s">
        <v>41</v>
      </c>
      <c r="O10" t="str">
        <f t="shared" si="0"/>
        <v>get router info routing-table details 44.119.8.40 | grep -f *</v>
      </c>
      <c r="P10" t="s">
        <v>57</v>
      </c>
      <c r="Q10" t="s">
        <v>43</v>
      </c>
      <c r="R10" t="str">
        <f t="shared" si="1"/>
        <v>diagnose firewall iprope lookup 44.119.8.40 22 10.201.0.158 22 tcp E2-EH-AGN</v>
      </c>
    </row>
    <row r="11" spans="1:18" x14ac:dyDescent="0.3">
      <c r="A11" t="s">
        <v>12</v>
      </c>
      <c r="B11" t="s">
        <v>13</v>
      </c>
      <c r="C11" t="s">
        <v>33</v>
      </c>
      <c r="D11" t="s">
        <v>34</v>
      </c>
      <c r="E11" t="s">
        <v>53</v>
      </c>
      <c r="I11" t="s">
        <v>16</v>
      </c>
      <c r="J11">
        <v>22</v>
      </c>
      <c r="K11">
        <v>22</v>
      </c>
      <c r="M11" t="s">
        <v>41</v>
      </c>
      <c r="O11" t="str">
        <f t="shared" si="0"/>
        <v>get router info routing-table details 10.201.3.52 | grep -f *</v>
      </c>
      <c r="P11" t="s">
        <v>58</v>
      </c>
      <c r="Q11" t="s">
        <v>43</v>
      </c>
      <c r="R11" t="str">
        <f t="shared" si="1"/>
        <v>diagnose firewall iprope lookup 10.201.3.52 22 10.201.0.158 22 tcp E2-EH-ADMOPE-1</v>
      </c>
    </row>
    <row r="12" spans="1:18" x14ac:dyDescent="0.3">
      <c r="A12" t="s">
        <v>12</v>
      </c>
      <c r="B12" t="s">
        <v>13</v>
      </c>
      <c r="C12" t="s">
        <v>35</v>
      </c>
      <c r="D12" t="s">
        <v>36</v>
      </c>
      <c r="E12" t="s">
        <v>54</v>
      </c>
      <c r="I12" t="s">
        <v>16</v>
      </c>
      <c r="J12">
        <v>22</v>
      </c>
      <c r="K12">
        <v>22</v>
      </c>
      <c r="M12" t="s">
        <v>41</v>
      </c>
      <c r="O12" t="str">
        <f t="shared" si="0"/>
        <v>get router info routing-table details 10.222.64.240 | grep -f *</v>
      </c>
      <c r="P12" t="s">
        <v>42</v>
      </c>
      <c r="Q12" t="s">
        <v>43</v>
      </c>
      <c r="R12" t="str">
        <f t="shared" si="1"/>
        <v>diagnose firewall iprope lookup 10.222.64.240 22 10.201.0.158 22 tcp EH-VDI</v>
      </c>
    </row>
    <row r="13" spans="1:18" x14ac:dyDescent="0.3">
      <c r="A13" t="s">
        <v>12</v>
      </c>
      <c r="B13" t="s">
        <v>13</v>
      </c>
      <c r="C13" t="s">
        <v>37</v>
      </c>
      <c r="D13" t="s">
        <v>38</v>
      </c>
      <c r="E13" t="s">
        <v>55</v>
      </c>
      <c r="I13" t="s">
        <v>16</v>
      </c>
      <c r="J13">
        <v>22</v>
      </c>
      <c r="K13">
        <v>22</v>
      </c>
      <c r="M13" t="s">
        <v>41</v>
      </c>
      <c r="O13" t="str">
        <f t="shared" si="0"/>
        <v>get router info routing-table details 10.201.58.30 | grep -f *</v>
      </c>
      <c r="P13" t="s">
        <v>60</v>
      </c>
      <c r="Q13" t="s">
        <v>43</v>
      </c>
      <c r="R13" t="str">
        <f t="shared" si="1"/>
        <v>diagnose firewall iprope lookup 10.201.58.30 22 10.201.0.158 22 tcp E2-EH-DEVJUMP</v>
      </c>
    </row>
    <row r="14" spans="1:18" x14ac:dyDescent="0.3">
      <c r="A14" t="s">
        <v>12</v>
      </c>
      <c r="B14" t="s">
        <v>13</v>
      </c>
      <c r="C14" t="s">
        <v>39</v>
      </c>
      <c r="D14" t="s">
        <v>40</v>
      </c>
      <c r="E14" t="s">
        <v>56</v>
      </c>
      <c r="I14" t="s">
        <v>16</v>
      </c>
      <c r="J14">
        <v>22</v>
      </c>
      <c r="K14">
        <v>22</v>
      </c>
      <c r="M14" t="s">
        <v>41</v>
      </c>
      <c r="O14" t="str">
        <f t="shared" si="0"/>
        <v>get router info routing-table details 44.119.8.158 | grep -f *</v>
      </c>
      <c r="P14" t="s">
        <v>57</v>
      </c>
      <c r="Q14" t="s">
        <v>43</v>
      </c>
      <c r="R14" t="str">
        <f t="shared" si="1"/>
        <v>diagnose firewall iprope lookup 44.119.8.158 22 10.201.0.158 22 tcp E2-EH-AGN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9F67-EE27-43BE-B7B9-5E9BE346D438}">
  <dimension ref="A1:A40"/>
  <sheetViews>
    <sheetView topLeftCell="A28" workbookViewId="0">
      <selection sqref="A1:A40"/>
    </sheetView>
  </sheetViews>
  <sheetFormatPr defaultRowHeight="14" x14ac:dyDescent="0.3"/>
  <sheetData>
    <row r="1" spans="1:1" x14ac:dyDescent="0.3">
      <c r="A1" t="s">
        <v>61</v>
      </c>
    </row>
    <row r="2" spans="1:1" x14ac:dyDescent="0.3">
      <c r="A2" t="s">
        <v>62</v>
      </c>
    </row>
    <row r="4" spans="1:1" x14ac:dyDescent="0.3">
      <c r="A4" t="s">
        <v>63</v>
      </c>
    </row>
    <row r="5" spans="1:1" x14ac:dyDescent="0.3">
      <c r="A5" t="s">
        <v>64</v>
      </c>
    </row>
    <row r="7" spans="1:1" x14ac:dyDescent="0.3">
      <c r="A7" t="s">
        <v>65</v>
      </c>
    </row>
    <row r="8" spans="1:1" x14ac:dyDescent="0.3">
      <c r="A8" t="s">
        <v>66</v>
      </c>
    </row>
    <row r="10" spans="1:1" x14ac:dyDescent="0.3">
      <c r="A10" t="s">
        <v>67</v>
      </c>
    </row>
    <row r="11" spans="1:1" x14ac:dyDescent="0.3">
      <c r="A11" t="s">
        <v>68</v>
      </c>
    </row>
    <row r="13" spans="1:1" x14ac:dyDescent="0.3">
      <c r="A13" t="s">
        <v>69</v>
      </c>
    </row>
    <row r="14" spans="1:1" x14ac:dyDescent="0.3">
      <c r="A14" t="s">
        <v>70</v>
      </c>
    </row>
    <row r="16" spans="1:1" x14ac:dyDescent="0.3">
      <c r="A16" t="s">
        <v>71</v>
      </c>
    </row>
    <row r="17" spans="1:1" x14ac:dyDescent="0.3">
      <c r="A17" t="s">
        <v>72</v>
      </c>
    </row>
    <row r="19" spans="1:1" x14ac:dyDescent="0.3">
      <c r="A19" t="s">
        <v>73</v>
      </c>
    </row>
    <row r="20" spans="1:1" x14ac:dyDescent="0.3">
      <c r="A20" t="s">
        <v>74</v>
      </c>
    </row>
    <row r="22" spans="1:1" x14ac:dyDescent="0.3">
      <c r="A22" t="s">
        <v>75</v>
      </c>
    </row>
    <row r="23" spans="1:1" x14ac:dyDescent="0.3">
      <c r="A23" t="s">
        <v>76</v>
      </c>
    </row>
    <row r="25" spans="1:1" x14ac:dyDescent="0.3">
      <c r="A25" t="s">
        <v>77</v>
      </c>
    </row>
    <row r="26" spans="1:1" x14ac:dyDescent="0.3">
      <c r="A26" t="s">
        <v>78</v>
      </c>
    </row>
    <row r="28" spans="1:1" x14ac:dyDescent="0.3">
      <c r="A28" t="s">
        <v>79</v>
      </c>
    </row>
    <row r="29" spans="1:1" x14ac:dyDescent="0.3">
      <c r="A29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4" spans="1:1" x14ac:dyDescent="0.3">
      <c r="A34" t="s">
        <v>83</v>
      </c>
    </row>
    <row r="35" spans="1:1" x14ac:dyDescent="0.3">
      <c r="A35" t="s">
        <v>84</v>
      </c>
    </row>
    <row r="37" spans="1:1" x14ac:dyDescent="0.3">
      <c r="A37" t="s">
        <v>85</v>
      </c>
    </row>
    <row r="38" spans="1:1" x14ac:dyDescent="0.3">
      <c r="A38" t="s">
        <v>86</v>
      </c>
    </row>
    <row r="40" spans="1:1" x14ac:dyDescent="0.3">
      <c r="A40" t="s">
        <v>87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10.201.0.158_ads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DUTTA, Swapnendu (EH:GROUP)</dc:creator>
  <cp:lastModifiedBy>Dutta, Swapnendu (Allianz Trade, external)</cp:lastModifiedBy>
  <dcterms:created xsi:type="dcterms:W3CDTF">2025-12-15T14:46:16Z</dcterms:created>
  <dcterms:modified xsi:type="dcterms:W3CDTF">2025-12-15T15:06:43Z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2025-12-15T14:46:16Z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9f093eb3-a5d5-46c7-a1f3-d2e109111937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