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5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SDUTTA\Downloads\Swapnendu\"/>
    </mc:Choice>
  </mc:AlternateContent>
  <xr:revisionPtr revIDLastSave="0" documentId="8_{AC108D80-FEA2-4985-8560-504CB5B92B6F}" xr6:coauthVersionLast="47" xr6:coauthVersionMax="47" xr10:uidLastSave="{00000000-0000-0000-0000-000000000000}"/>
  <bookViews>
    <workbookView xWindow="-110" yWindow="-110" windowWidth="19420" windowHeight="11500" activeTab="1" xr2:uid="{11C38A77-7F2F-49F6-B5D5-22C86F7642AB}"/>
  </bookViews>
  <sheets>
    <sheet name="10.201.0.191_ads" sheetId="1" r:id="rId1"/>
    <sheet name="Sheet1" sheetId="2" r:id="rId2"/>
  </sheets>
  <calcPr calcId="0"/>
</workbook>
</file>

<file path=xl/calcChain.xml><?xml version="1.0" encoding="utf-8"?>
<calcChain xmlns="http://schemas.openxmlformats.org/spreadsheetml/2006/main">
  <c r="R3" i="1" l="1"/>
  <c r="R4" i="1"/>
  <c r="R5" i="1"/>
  <c r="R6" i="1"/>
  <c r="R7" i="1"/>
  <c r="R8" i="1"/>
  <c r="R9" i="1"/>
  <c r="R10" i="1"/>
  <c r="R11" i="1"/>
  <c r="R12" i="1"/>
  <c r="R13" i="1"/>
  <c r="R2" i="1"/>
  <c r="O3" i="1"/>
  <c r="O4" i="1"/>
  <c r="O5" i="1"/>
  <c r="O6" i="1"/>
  <c r="O7" i="1"/>
  <c r="O8" i="1"/>
  <c r="O9" i="1"/>
  <c r="O10" i="1"/>
  <c r="O11" i="1"/>
  <c r="O12" i="1"/>
  <c r="O13" i="1"/>
  <c r="O2" i="1"/>
</calcChain>
</file>

<file path=xl/sharedStrings.xml><?xml version="1.0" encoding="utf-8"?>
<sst xmlns="http://schemas.openxmlformats.org/spreadsheetml/2006/main" count="145" uniqueCount="71">
  <si>
    <t>resource_name</t>
  </si>
  <si>
    <t>type</t>
  </si>
  <si>
    <t>name</t>
  </si>
  <si>
    <t>description</t>
  </si>
  <si>
    <t>cidr_ipv4</t>
  </si>
  <si>
    <t>cidr_ipv6</t>
  </si>
  <si>
    <t>prefix_list_id</t>
  </si>
  <si>
    <t>referenced_security_group_id</t>
  </si>
  <si>
    <t>protocol</t>
  </si>
  <si>
    <t>from_port</t>
  </si>
  <si>
    <t>to_port</t>
  </si>
  <si>
    <t>policy_id</t>
  </si>
  <si>
    <t>sg</t>
  </si>
  <si>
    <t>ingress</t>
  </si>
  <si>
    <t>ads-rule-10001</t>
  </si>
  <si>
    <t>From ADS data. Allow from 10.72.42.11</t>
  </si>
  <si>
    <t>tcp</t>
  </si>
  <si>
    <t>ads-rule-10002</t>
  </si>
  <si>
    <t>ads-rule-10003</t>
  </si>
  <si>
    <t>From ADS data. Allow from 10.201.3.196</t>
  </si>
  <si>
    <t>ads-rule-10004</t>
  </si>
  <si>
    <t>ads-rule-10005</t>
  </si>
  <si>
    <t>From ADS data. Allow from 10.202.141.55</t>
  </si>
  <si>
    <t>ads-rule-10006</t>
  </si>
  <si>
    <t>From ADS data. Allow from 10.202.141.218</t>
  </si>
  <si>
    <t>ads-rule-10007</t>
  </si>
  <si>
    <t>ads-rule-10008</t>
  </si>
  <si>
    <t>ads-rule-10009</t>
  </si>
  <si>
    <t>ads-rule-10010</t>
  </si>
  <si>
    <t>ads-rule-10011</t>
  </si>
  <si>
    <t>From ADS data. Allow from 10.202.141.42</t>
  </si>
  <si>
    <t>ads-rule-10012</t>
  </si>
  <si>
    <t>From ADS data. Allow from 10.201.48.3</t>
  </si>
  <si>
    <t>get router info routing-table details</t>
  </si>
  <si>
    <t>10.72.42.11</t>
  </si>
  <si>
    <t>From ADS data. Allow ephemeral ports from 10.72.42.11</t>
  </si>
  <si>
    <t>10.201.3.196</t>
  </si>
  <si>
    <t>From ADS data. Allow ephemeral ports from 10.201.3.196</t>
  </si>
  <si>
    <t>10.202.141.55</t>
  </si>
  <si>
    <t>10.202.141.218</t>
  </si>
  <si>
    <t>10.202.141.42</t>
  </si>
  <si>
    <t>10.201.48.3</t>
  </si>
  <si>
    <t>E2-EH-AGN</t>
  </si>
  <si>
    <t>E2-EH-ADMOPE-1</t>
  </si>
  <si>
    <t>E2-EH-VDI-EXT</t>
  </si>
  <si>
    <t>diagnose firewall iprope lookup</t>
  </si>
  <si>
    <t>FR-E2-FW-EH-1-FNET $ diagnose firewall iprope lookup 10.72.42.11 135 10.201.0.191 135 tcp E2-EH-AGN</t>
  </si>
  <si>
    <t>&lt;src [10.72.42.11-135] dst [10.201.0.191-135] proto tcp dev E2-EH-AGN&gt; matches policy id: 8870</t>
  </si>
  <si>
    <t>FR-E2-FW-EH-1-FNET $ diagnose firewall iprope lookup 10.72.42.11 49152 10.201.0.191 65535 tcp E2-EH-AGN</t>
  </si>
  <si>
    <t>&lt;src [10.72.42.11-49152] dst [10.201.0.191-65535] proto tcp dev E2-EH-AGN&gt; matches policy id: 8870</t>
  </si>
  <si>
    <t>FR-E2-FW-EH-1-FNET $ diagnose firewall iprope lookup 10.201.3.196 135 10.201.0.191 135 tcp E2-EH-ADMOPE-1</t>
  </si>
  <si>
    <t>&lt;src [10.201.3.196-135] dst [10.201.0.191-135] proto tcp dev E2-EH-ADMOPE-1&gt; matches policy id: 683</t>
  </si>
  <si>
    <t>FR-E2-FW-EH-1-FNET $ diagnose firewall iprope lookup 10.201.3.196 49152 10.201.0.191 65535 tcp E2-EH-ADMOPE-1</t>
  </si>
  <si>
    <t>&lt;src [10.201.3.196-49152] dst [10.201.0.191-65535] proto tcp dev E2-EH-ADMOPE-1&gt; matches policy id: 683</t>
  </si>
  <si>
    <t>FR-E2-FW-EH-1-FNET $ diagnose firewall iprope lookup 10.202.141.55 445 10.201.0.191 445 tcp E2-EH-AGN</t>
  </si>
  <si>
    <t>&lt;src [10.202.141.55-445] dst [10.201.0.191-445] proto tcp dev E2-EH-AGN&gt; matches policy id: 4151</t>
  </si>
  <si>
    <t>FR-E2-FW-EH-1-FNET $ diagnose firewall iprope lookup 10.202.141.218 47001 10.201.0.191 47001 tcp E2-EH-AGN</t>
  </si>
  <si>
    <t>&lt;src [10.202.141.218-47001] dst [10.201.0.191-47001] proto tcp dev E2-EH-AGN&gt; matches policy id: 4151</t>
  </si>
  <si>
    <t>FR-E2-FW-EH-1-FNET $ diagnose firewall iprope lookup 10.202.141.218 5985 10.201.0.191 5985 tcp E2-EH-AGN</t>
  </si>
  <si>
    <t>&lt;src [10.202.141.218-5985] dst [10.201.0.191-5985] proto tcp dev E2-EH-AGN&gt; matches policy id: 4151</t>
  </si>
  <si>
    <t>FR-E2-FW-EH-1-FNET $ diagnose firewall iprope lookup 10.202.141.218 8089 10.201.0.191 8089 tcp E2-EH-AGN</t>
  </si>
  <si>
    <t>&lt;src [10.202.141.218-8089] dst [10.201.0.191-8089] proto tcp dev E2-EH-AGN&gt; matches policy id: 4151</t>
  </si>
  <si>
    <t>FR-E2-FW-EH-1-FNET $ diagnose firewall iprope lookup 10.202.141.218 443 10.201.0.191 443 tcp E2-EH-AGN</t>
  </si>
  <si>
    <t>&lt;src [10.202.141.218-443] dst [10.201.0.191-443] proto tcp dev E2-EH-AGN&gt; matches policy id: 6518</t>
  </si>
  <si>
    <t>FR-E2-FW-EH-1-FNET $ diagnose firewall iprope lookup 10.202.141.218 445 10.201.0.191 445 tcp E2-EH-AGN</t>
  </si>
  <si>
    <t>&lt;src [10.202.141.218-445] dst [10.201.0.191-445] proto tcp dev E2-EH-AGN&gt; matches policy id: 4151</t>
  </si>
  <si>
    <t>FR-E2-FW-EH-1-FNET $ diagnose firewall iprope lookup 10.202.141.42 443 10.201.0.191 443 tcp E2-EH-AGN</t>
  </si>
  <si>
    <t>&lt;src [10.202.141.42-443] dst [10.201.0.191-443] proto tcp dev E2-EH-AGN&gt; matches policy id: 6518</t>
  </si>
  <si>
    <t>FR-E2-FW-EH-1-FNET $ diagnose firewall iprope lookup 10.201.48.3 443 10.201.0.191 443 tcp E2-EH-VDI-EXT</t>
  </si>
  <si>
    <t>&lt;src [10.201.48.3-443] dst [10.201.0.191-443] proto tcp dev E2-EH-VDI-EXT&gt; matches policy id: 685</t>
  </si>
  <si>
    <t>FR-E2-FW-EH-1-FNET $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</si>
</sst>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Arial"/>
      <family val="2"/>
    </font>
    <font>
      <sz val="11"/>
      <color theme="1"/>
      <name val="Arial"/>
      <family val="2"/>
    </font>
    <font>
      <sz val="18"/>
      <color theme="3"/>
      <name val="Aptos Display"/>
      <family val="2"/>
      <scheme val="major"/>
    </font>
    <font>
      <b/>
      <sz val="15"/>
      <color theme="3"/>
      <name val="Arial"/>
      <family val="2"/>
    </font>
    <font>
      <b/>
      <sz val="13"/>
      <color theme="3"/>
      <name val="Arial"/>
      <family val="2"/>
    </font>
    <font>
      <b/>
      <sz val="11"/>
      <color theme="3"/>
      <name val="Arial"/>
      <family val="2"/>
    </font>
    <font>
      <sz val="11"/>
      <color rgb="FF006100"/>
      <name val="Arial"/>
      <family val="2"/>
    </font>
    <font>
      <sz val="11"/>
      <color rgb="FF9C0006"/>
      <name val="Arial"/>
      <family val="2"/>
    </font>
    <font>
      <sz val="11"/>
      <color rgb="FF9C5700"/>
      <name val="Arial"/>
      <family val="2"/>
    </font>
    <font>
      <sz val="11"/>
      <color rgb="FF3F3F76"/>
      <name val="Arial"/>
      <family val="2"/>
    </font>
    <font>
      <b/>
      <sz val="11"/>
      <color rgb="FF3F3F3F"/>
      <name val="Arial"/>
      <family val="2"/>
    </font>
    <font>
      <b/>
      <sz val="11"/>
      <color rgb="FFFA7D00"/>
      <name val="Arial"/>
      <family val="2"/>
    </font>
    <font>
      <sz val="11"/>
      <color rgb="FFFA7D00"/>
      <name val="Arial"/>
      <family val="2"/>
    </font>
    <font>
      <b/>
      <sz val="11"/>
      <color theme="0"/>
      <name val="Arial"/>
      <family val="2"/>
    </font>
    <font>
      <sz val="11"/>
      <color rgb="FFFF0000"/>
      <name val="Arial"/>
      <family val="2"/>
    </font>
    <font>
      <i/>
      <sz val="11"/>
      <color rgb="FF7F7F7F"/>
      <name val="Arial"/>
      <family val="2"/>
    </font>
    <font>
      <b/>
      <sz val="11"/>
      <color theme="1"/>
      <name val="Arial"/>
      <family val="2"/>
    </font>
    <font>
      <sz val="11"/>
      <color theme="0"/>
      <name val="Arial"/>
      <family val="2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1">
    <xf numFmtId="0" fontId="0" fillId="0" borderId="0" xfId="0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861886D-B153-4D1B-BC60-F33817A066D4}">
  <dimension ref="A1:R13"/>
  <sheetViews>
    <sheetView topLeftCell="L1" zoomScale="70" zoomScaleNormal="70" workbookViewId="0">
      <selection activeCell="R2" sqref="R2:R13"/>
    </sheetView>
  </sheetViews>
  <sheetFormatPr defaultRowHeight="14" x14ac:dyDescent="0.3"/>
  <cols>
    <col min="13" max="13" width="28.25" bestFit="1" customWidth="1"/>
    <col min="14" max="14" width="14.1640625" customWidth="1"/>
    <col min="15" max="15" width="16.5" bestFit="1" customWidth="1"/>
    <col min="16" max="17" width="25.75" bestFit="1" customWidth="1"/>
    <col min="18" max="18" width="78.9140625" bestFit="1" customWidth="1"/>
  </cols>
  <sheetData>
    <row r="1" spans="1:18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</row>
    <row r="2" spans="1:18" x14ac:dyDescent="0.3">
      <c r="A2" t="s">
        <v>12</v>
      </c>
      <c r="B2" t="s">
        <v>13</v>
      </c>
      <c r="C2" t="s">
        <v>14</v>
      </c>
      <c r="D2" t="s">
        <v>15</v>
      </c>
      <c r="E2" t="s">
        <v>34</v>
      </c>
      <c r="I2" t="s">
        <v>16</v>
      </c>
      <c r="J2">
        <v>135</v>
      </c>
      <c r="K2">
        <v>135</v>
      </c>
      <c r="M2" t="s">
        <v>33</v>
      </c>
      <c r="O2" t="str">
        <f>_xlfn.CONCAT(M2," ",E2, " | grep -f *")</f>
        <v>get router info routing-table details 10.72.42.11 | grep -f *</v>
      </c>
      <c r="P2" t="s">
        <v>42</v>
      </c>
      <c r="Q2" t="s">
        <v>45</v>
      </c>
      <c r="R2" t="str">
        <f>_xlfn.CONCAT(Q2," ", E2, " ",J2," 10.201.0.191 ",K2," tcp ",P2 )</f>
        <v>diagnose firewall iprope lookup 10.72.42.11 135 10.201.0.191 135 tcp E2-EH-AGN</v>
      </c>
    </row>
    <row r="3" spans="1:18" x14ac:dyDescent="0.3">
      <c r="A3" t="s">
        <v>12</v>
      </c>
      <c r="B3" t="s">
        <v>13</v>
      </c>
      <c r="C3" t="s">
        <v>17</v>
      </c>
      <c r="D3" t="s">
        <v>35</v>
      </c>
      <c r="E3" t="s">
        <v>34</v>
      </c>
      <c r="I3" t="s">
        <v>16</v>
      </c>
      <c r="J3">
        <v>49152</v>
      </c>
      <c r="K3">
        <v>65535</v>
      </c>
      <c r="M3" t="s">
        <v>33</v>
      </c>
      <c r="O3" t="str">
        <f>_xlfn.CONCAT(M3," ",E3, " | grep -f *")</f>
        <v>get router info routing-table details 10.72.42.11 | grep -f *</v>
      </c>
      <c r="P3" t="s">
        <v>42</v>
      </c>
      <c r="Q3" t="s">
        <v>45</v>
      </c>
      <c r="R3" t="str">
        <f t="shared" ref="R3:R13" si="0">_xlfn.CONCAT(Q3," ", E3, " ",J3," 10.201.0.191 ",K3," tcp ",P3 )</f>
        <v>diagnose firewall iprope lookup 10.72.42.11 49152 10.201.0.191 65535 tcp E2-EH-AGN</v>
      </c>
    </row>
    <row r="4" spans="1:18" x14ac:dyDescent="0.3">
      <c r="A4" t="s">
        <v>12</v>
      </c>
      <c r="B4" t="s">
        <v>13</v>
      </c>
      <c r="C4" t="s">
        <v>18</v>
      </c>
      <c r="D4" t="s">
        <v>19</v>
      </c>
      <c r="E4" t="s">
        <v>36</v>
      </c>
      <c r="I4" t="s">
        <v>16</v>
      </c>
      <c r="J4">
        <v>135</v>
      </c>
      <c r="K4">
        <v>135</v>
      </c>
      <c r="M4" t="s">
        <v>33</v>
      </c>
      <c r="O4" t="str">
        <f>_xlfn.CONCAT(M4," ",E4, " | grep -f *")</f>
        <v>get router info routing-table details 10.201.3.196 | grep -f *</v>
      </c>
      <c r="P4" t="s">
        <v>43</v>
      </c>
      <c r="Q4" t="s">
        <v>45</v>
      </c>
      <c r="R4" t="str">
        <f t="shared" si="0"/>
        <v>diagnose firewall iprope lookup 10.201.3.196 135 10.201.0.191 135 tcp E2-EH-ADMOPE-1</v>
      </c>
    </row>
    <row r="5" spans="1:18" x14ac:dyDescent="0.3">
      <c r="A5" t="s">
        <v>12</v>
      </c>
      <c r="B5" t="s">
        <v>13</v>
      </c>
      <c r="C5" t="s">
        <v>20</v>
      </c>
      <c r="D5" t="s">
        <v>37</v>
      </c>
      <c r="E5" t="s">
        <v>36</v>
      </c>
      <c r="I5" t="s">
        <v>16</v>
      </c>
      <c r="J5">
        <v>49152</v>
      </c>
      <c r="K5">
        <v>65535</v>
      </c>
      <c r="M5" t="s">
        <v>33</v>
      </c>
      <c r="O5" t="str">
        <f>_xlfn.CONCAT(M5," ",E5, " | grep -f *")</f>
        <v>get router info routing-table details 10.201.3.196 | grep -f *</v>
      </c>
      <c r="P5" t="s">
        <v>43</v>
      </c>
      <c r="Q5" t="s">
        <v>45</v>
      </c>
      <c r="R5" t="str">
        <f t="shared" si="0"/>
        <v>diagnose firewall iprope lookup 10.201.3.196 49152 10.201.0.191 65535 tcp E2-EH-ADMOPE-1</v>
      </c>
    </row>
    <row r="6" spans="1:18" x14ac:dyDescent="0.3">
      <c r="A6" t="s">
        <v>12</v>
      </c>
      <c r="B6" t="s">
        <v>13</v>
      </c>
      <c r="C6" t="s">
        <v>21</v>
      </c>
      <c r="D6" t="s">
        <v>22</v>
      </c>
      <c r="E6" t="s">
        <v>38</v>
      </c>
      <c r="I6" t="s">
        <v>16</v>
      </c>
      <c r="J6">
        <v>445</v>
      </c>
      <c r="K6">
        <v>445</v>
      </c>
      <c r="M6" t="s">
        <v>33</v>
      </c>
      <c r="O6" t="str">
        <f>_xlfn.CONCAT(M6," ",E6, " | grep -f *")</f>
        <v>get router info routing-table details 10.202.141.55 | grep -f *</v>
      </c>
      <c r="P6" t="s">
        <v>42</v>
      </c>
      <c r="Q6" t="s">
        <v>45</v>
      </c>
      <c r="R6" t="str">
        <f t="shared" si="0"/>
        <v>diagnose firewall iprope lookup 10.202.141.55 445 10.201.0.191 445 tcp E2-EH-AGN</v>
      </c>
    </row>
    <row r="7" spans="1:18" x14ac:dyDescent="0.3">
      <c r="A7" t="s">
        <v>12</v>
      </c>
      <c r="B7" t="s">
        <v>13</v>
      </c>
      <c r="C7" t="s">
        <v>23</v>
      </c>
      <c r="D7" t="s">
        <v>24</v>
      </c>
      <c r="E7" t="s">
        <v>39</v>
      </c>
      <c r="I7" t="s">
        <v>16</v>
      </c>
      <c r="J7">
        <v>47001</v>
      </c>
      <c r="K7">
        <v>47001</v>
      </c>
      <c r="M7" t="s">
        <v>33</v>
      </c>
      <c r="O7" t="str">
        <f>_xlfn.CONCAT(M7," ",E7, " | grep -f *")</f>
        <v>get router info routing-table details 10.202.141.218 | grep -f *</v>
      </c>
      <c r="P7" t="s">
        <v>42</v>
      </c>
      <c r="Q7" t="s">
        <v>45</v>
      </c>
      <c r="R7" t="str">
        <f t="shared" si="0"/>
        <v>diagnose firewall iprope lookup 10.202.141.218 47001 10.201.0.191 47001 tcp E2-EH-AGN</v>
      </c>
    </row>
    <row r="8" spans="1:18" x14ac:dyDescent="0.3">
      <c r="A8" t="s">
        <v>12</v>
      </c>
      <c r="B8" t="s">
        <v>13</v>
      </c>
      <c r="C8" t="s">
        <v>25</v>
      </c>
      <c r="D8" t="s">
        <v>24</v>
      </c>
      <c r="E8" t="s">
        <v>39</v>
      </c>
      <c r="I8" t="s">
        <v>16</v>
      </c>
      <c r="J8">
        <v>5985</v>
      </c>
      <c r="K8">
        <v>5985</v>
      </c>
      <c r="M8" t="s">
        <v>33</v>
      </c>
      <c r="O8" t="str">
        <f>_xlfn.CONCAT(M8," ",E8, " | grep -f *")</f>
        <v>get router info routing-table details 10.202.141.218 | grep -f *</v>
      </c>
      <c r="P8" t="s">
        <v>42</v>
      </c>
      <c r="Q8" t="s">
        <v>45</v>
      </c>
      <c r="R8" t="str">
        <f t="shared" si="0"/>
        <v>diagnose firewall iprope lookup 10.202.141.218 5985 10.201.0.191 5985 tcp E2-EH-AGN</v>
      </c>
    </row>
    <row r="9" spans="1:18" x14ac:dyDescent="0.3">
      <c r="A9" t="s">
        <v>12</v>
      </c>
      <c r="B9" t="s">
        <v>13</v>
      </c>
      <c r="C9" t="s">
        <v>26</v>
      </c>
      <c r="D9" t="s">
        <v>24</v>
      </c>
      <c r="E9" t="s">
        <v>39</v>
      </c>
      <c r="I9" t="s">
        <v>16</v>
      </c>
      <c r="J9">
        <v>8089</v>
      </c>
      <c r="K9">
        <v>8089</v>
      </c>
      <c r="M9" t="s">
        <v>33</v>
      </c>
      <c r="O9" t="str">
        <f>_xlfn.CONCAT(M9," ",E9, " | grep -f *")</f>
        <v>get router info routing-table details 10.202.141.218 | grep -f *</v>
      </c>
      <c r="P9" t="s">
        <v>42</v>
      </c>
      <c r="Q9" t="s">
        <v>45</v>
      </c>
      <c r="R9" t="str">
        <f t="shared" si="0"/>
        <v>diagnose firewall iprope lookup 10.202.141.218 8089 10.201.0.191 8089 tcp E2-EH-AGN</v>
      </c>
    </row>
    <row r="10" spans="1:18" x14ac:dyDescent="0.3">
      <c r="A10" t="s">
        <v>12</v>
      </c>
      <c r="B10" t="s">
        <v>13</v>
      </c>
      <c r="C10" t="s">
        <v>27</v>
      </c>
      <c r="D10" t="s">
        <v>24</v>
      </c>
      <c r="E10" t="s">
        <v>39</v>
      </c>
      <c r="I10" t="s">
        <v>16</v>
      </c>
      <c r="J10">
        <v>443</v>
      </c>
      <c r="K10">
        <v>443</v>
      </c>
      <c r="M10" t="s">
        <v>33</v>
      </c>
      <c r="O10" t="str">
        <f>_xlfn.CONCAT(M10," ",E10, " | grep -f *")</f>
        <v>get router info routing-table details 10.202.141.218 | grep -f *</v>
      </c>
      <c r="P10" t="s">
        <v>42</v>
      </c>
      <c r="Q10" t="s">
        <v>45</v>
      </c>
      <c r="R10" t="str">
        <f t="shared" si="0"/>
        <v>diagnose firewall iprope lookup 10.202.141.218 443 10.201.0.191 443 tcp E2-EH-AGN</v>
      </c>
    </row>
    <row r="11" spans="1:18" x14ac:dyDescent="0.3">
      <c r="A11" t="s">
        <v>12</v>
      </c>
      <c r="B11" t="s">
        <v>13</v>
      </c>
      <c r="C11" t="s">
        <v>28</v>
      </c>
      <c r="D11" t="s">
        <v>24</v>
      </c>
      <c r="E11" t="s">
        <v>39</v>
      </c>
      <c r="I11" t="s">
        <v>16</v>
      </c>
      <c r="J11">
        <v>445</v>
      </c>
      <c r="K11">
        <v>445</v>
      </c>
      <c r="M11" t="s">
        <v>33</v>
      </c>
      <c r="O11" t="str">
        <f>_xlfn.CONCAT(M11," ",E11, " | grep -f *")</f>
        <v>get router info routing-table details 10.202.141.218 | grep -f *</v>
      </c>
      <c r="P11" t="s">
        <v>42</v>
      </c>
      <c r="Q11" t="s">
        <v>45</v>
      </c>
      <c r="R11" t="str">
        <f t="shared" si="0"/>
        <v>diagnose firewall iprope lookup 10.202.141.218 445 10.201.0.191 445 tcp E2-EH-AGN</v>
      </c>
    </row>
    <row r="12" spans="1:18" x14ac:dyDescent="0.3">
      <c r="A12" t="s">
        <v>12</v>
      </c>
      <c r="B12" t="s">
        <v>13</v>
      </c>
      <c r="C12" t="s">
        <v>29</v>
      </c>
      <c r="D12" t="s">
        <v>30</v>
      </c>
      <c r="E12" t="s">
        <v>40</v>
      </c>
      <c r="I12" t="s">
        <v>16</v>
      </c>
      <c r="J12">
        <v>443</v>
      </c>
      <c r="K12">
        <v>443</v>
      </c>
      <c r="M12" t="s">
        <v>33</v>
      </c>
      <c r="O12" t="str">
        <f>_xlfn.CONCAT(M12," ",E12, " | grep -f *")</f>
        <v>get router info routing-table details 10.202.141.42 | grep -f *</v>
      </c>
      <c r="P12" t="s">
        <v>42</v>
      </c>
      <c r="Q12" t="s">
        <v>45</v>
      </c>
      <c r="R12" t="str">
        <f t="shared" si="0"/>
        <v>diagnose firewall iprope lookup 10.202.141.42 443 10.201.0.191 443 tcp E2-EH-AGN</v>
      </c>
    </row>
    <row r="13" spans="1:18" x14ac:dyDescent="0.3">
      <c r="A13" t="s">
        <v>12</v>
      </c>
      <c r="B13" t="s">
        <v>13</v>
      </c>
      <c r="C13" t="s">
        <v>31</v>
      </c>
      <c r="D13" t="s">
        <v>32</v>
      </c>
      <c r="E13" t="s">
        <v>41</v>
      </c>
      <c r="I13" t="s">
        <v>16</v>
      </c>
      <c r="J13">
        <v>443</v>
      </c>
      <c r="K13">
        <v>443</v>
      </c>
      <c r="M13" t="s">
        <v>33</v>
      </c>
      <c r="O13" t="str">
        <f>_xlfn.CONCAT(M13," ",E13, " | grep -f *")</f>
        <v>get router info routing-table details 10.201.48.3 | grep -f *</v>
      </c>
      <c r="P13" t="s">
        <v>44</v>
      </c>
      <c r="Q13" t="s">
        <v>45</v>
      </c>
      <c r="R13" t="str">
        <f t="shared" si="0"/>
        <v>diagnose firewall iprope lookup 10.201.48.3 443 10.201.0.191 443 tcp E2-EH-VDI-EXT</v>
      </c>
    </row>
  </sheetData>
  <pageMargins left="0.7" right="0.7" top="0.75" bottom="0.75" header="0.3" footer="0.3"/>
  <headerFooter>
    <oddHeader>&amp;C&amp;"Calibri"&amp;10&amp;K000000 Internal&amp;1#_x000D_</oddHeader>
  </headerFooter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D5E4F21-3DBD-48FA-8E1F-7E4DEB95FD3B}">
  <dimension ref="A1:A37"/>
  <sheetViews>
    <sheetView tabSelected="1" workbookViewId="0">
      <selection sqref="A1:A37"/>
    </sheetView>
  </sheetViews>
  <sheetFormatPr defaultRowHeight="14" x14ac:dyDescent="0.3"/>
  <sheetData>
    <row r="1" spans="1:1" x14ac:dyDescent="0.3">
      <c r="A1" t="s">
        <v>46</v>
      </c>
    </row>
    <row r="2" spans="1:1" x14ac:dyDescent="0.3">
      <c r="A2" t="s">
        <v>47</v>
      </c>
    </row>
    <row r="4" spans="1:1" x14ac:dyDescent="0.3">
      <c r="A4" t="s">
        <v>48</v>
      </c>
    </row>
    <row r="5" spans="1:1" x14ac:dyDescent="0.3">
      <c r="A5" t="s">
        <v>49</v>
      </c>
    </row>
    <row r="7" spans="1:1" x14ac:dyDescent="0.3">
      <c r="A7" t="s">
        <v>50</v>
      </c>
    </row>
    <row r="8" spans="1:1" x14ac:dyDescent="0.3">
      <c r="A8" t="s">
        <v>51</v>
      </c>
    </row>
    <row r="10" spans="1:1" x14ac:dyDescent="0.3">
      <c r="A10" t="s">
        <v>52</v>
      </c>
    </row>
    <row r="11" spans="1:1" x14ac:dyDescent="0.3">
      <c r="A11" t="s">
        <v>53</v>
      </c>
    </row>
    <row r="13" spans="1:1" x14ac:dyDescent="0.3">
      <c r="A13" t="s">
        <v>54</v>
      </c>
    </row>
    <row r="14" spans="1:1" x14ac:dyDescent="0.3">
      <c r="A14" t="s">
        <v>55</v>
      </c>
    </row>
    <row r="16" spans="1:1" x14ac:dyDescent="0.3">
      <c r="A16" t="s">
        <v>56</v>
      </c>
    </row>
    <row r="17" spans="1:1" x14ac:dyDescent="0.3">
      <c r="A17" t="s">
        <v>57</v>
      </c>
    </row>
    <row r="19" spans="1:1" x14ac:dyDescent="0.3">
      <c r="A19" t="s">
        <v>58</v>
      </c>
    </row>
    <row r="20" spans="1:1" x14ac:dyDescent="0.3">
      <c r="A20" t="s">
        <v>59</v>
      </c>
    </row>
    <row r="22" spans="1:1" x14ac:dyDescent="0.3">
      <c r="A22" t="s">
        <v>60</v>
      </c>
    </row>
    <row r="23" spans="1:1" x14ac:dyDescent="0.3">
      <c r="A23" t="s">
        <v>61</v>
      </c>
    </row>
    <row r="25" spans="1:1" x14ac:dyDescent="0.3">
      <c r="A25" t="s">
        <v>62</v>
      </c>
    </row>
    <row r="26" spans="1:1" x14ac:dyDescent="0.3">
      <c r="A26" t="s">
        <v>63</v>
      </c>
    </row>
    <row r="28" spans="1:1" x14ac:dyDescent="0.3">
      <c r="A28" t="s">
        <v>64</v>
      </c>
    </row>
    <row r="29" spans="1:1" x14ac:dyDescent="0.3">
      <c r="A29" t="s">
        <v>65</v>
      </c>
    </row>
    <row r="31" spans="1:1" x14ac:dyDescent="0.3">
      <c r="A31" t="s">
        <v>66</v>
      </c>
    </row>
    <row r="32" spans="1:1" x14ac:dyDescent="0.3">
      <c r="A32" t="s">
        <v>67</v>
      </c>
    </row>
    <row r="34" spans="1:1" x14ac:dyDescent="0.3">
      <c r="A34" t="s">
        <v>68</v>
      </c>
    </row>
    <row r="35" spans="1:1" x14ac:dyDescent="0.3">
      <c r="A35" t="s">
        <v>69</v>
      </c>
    </row>
    <row r="37" spans="1:1" x14ac:dyDescent="0.3">
      <c r="A37" t="s">
        <v>70</v>
      </c>
    </row>
  </sheetData>
  <pageMargins left="0.7" right="0.7" top="0.75" bottom="0.75" header="0.3" footer="0.3"/>
  <headerFooter>
    <oddHeader>&amp;C&amp;"Calibri"&amp;10&amp;K000000 Internal&amp;1#_x000D_</oddHead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10.201.0.191_ads</vt:lpstr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DUTTA, Swapnendu (EH:GROUP)</dc:creator>
  <cp:lastModifiedBy>Dutta, Swapnendu (Allianz Trade, external)</cp:lastModifiedBy>
  <dcterms:created xsi:type="dcterms:W3CDTF">2025-12-15T15:02:08Z</dcterms:created>
  <dcterms:modified xsi:type="dcterms:W3CDTF">2025-12-15T15:02:08Z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863bc15e-e7bf-41c1-bdb3-03882d8a2e2c_Enabled">
    <vt:lpwstr>true</vt:lpwstr>
  </property>
  <property fmtid="{D5CDD505-2E9C-101B-9397-08002B2CF9AE}" pid="3" name="MSIP_Label_863bc15e-e7bf-41c1-bdb3-03882d8a2e2c_SetDate">
    <vt:lpwstr>2025-12-15T15:02:08Z</vt:lpwstr>
  </property>
  <property fmtid="{D5CDD505-2E9C-101B-9397-08002B2CF9AE}" pid="4" name="MSIP_Label_863bc15e-e7bf-41c1-bdb3-03882d8a2e2c_Method">
    <vt:lpwstr>Privileged</vt:lpwstr>
  </property>
  <property fmtid="{D5CDD505-2E9C-101B-9397-08002B2CF9AE}" pid="5" name="MSIP_Label_863bc15e-e7bf-41c1-bdb3-03882d8a2e2c_Name">
    <vt:lpwstr>863bc15e-e7bf-41c1-bdb3-03882d8a2e2c</vt:lpwstr>
  </property>
  <property fmtid="{D5CDD505-2E9C-101B-9397-08002B2CF9AE}" pid="6" name="MSIP_Label_863bc15e-e7bf-41c1-bdb3-03882d8a2e2c_SiteId">
    <vt:lpwstr>6e06e42d-6925-47c6-b9e7-9581c7ca302a</vt:lpwstr>
  </property>
  <property fmtid="{D5CDD505-2E9C-101B-9397-08002B2CF9AE}" pid="7" name="MSIP_Label_863bc15e-e7bf-41c1-bdb3-03882d8a2e2c_ActionId">
    <vt:lpwstr>88904eca-7d19-49af-8152-dbf60a3c31f4</vt:lpwstr>
  </property>
  <property fmtid="{D5CDD505-2E9C-101B-9397-08002B2CF9AE}" pid="8" name="MSIP_Label_863bc15e-e7bf-41c1-bdb3-03882d8a2e2c_ContentBits">
    <vt:lpwstr>1</vt:lpwstr>
  </property>
  <property fmtid="{D5CDD505-2E9C-101B-9397-08002B2CF9AE}" pid="9" name="MSIP_Label_863bc15e-e7bf-41c1-bdb3-03882d8a2e2c_Tag">
    <vt:lpwstr>10, 0, 1, 1</vt:lpwstr>
  </property>
</Properties>
</file>