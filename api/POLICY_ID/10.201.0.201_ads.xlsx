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99D91407-EFB6-414F-9B7E-AE26A35064BF}" xr6:coauthVersionLast="47" xr6:coauthVersionMax="47" xr10:uidLastSave="{00000000-0000-0000-0000-000000000000}"/>
  <bookViews>
    <workbookView xWindow="-110" yWindow="-110" windowWidth="19420" windowHeight="11500" activeTab="1" xr2:uid="{231FAA64-A36F-429D-926D-04A1DC75C49F}"/>
  </bookViews>
  <sheets>
    <sheet name="10.201.0.201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2" i="1"/>
</calcChain>
</file>

<file path=xl/sharedStrings.xml><?xml version="1.0" encoding="utf-8"?>
<sst xmlns="http://schemas.openxmlformats.org/spreadsheetml/2006/main" count="655" uniqueCount="291">
  <si>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</si>
  <si>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</si>
  <si>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</si>
  <si>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</si>
  <si>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</si>
  <si>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</si>
  <si>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</si>
  <si>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</si>
  <si>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</si>
  <si>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</si>
  <si>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</si>
  <si>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</si>
  <si>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</si>
  <si>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</si>
  <si>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</si>
  <si>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10.201.32.203</t>
  </si>
  <si>
    <t>tcp</t>
  </si>
  <si>
    <t>ads-rule-10002</t>
  </si>
  <si>
    <t>ads-rule-10003</t>
  </si>
  <si>
    <t>From ADS data. Allow from 10.202.141.55</t>
  </si>
  <si>
    <t>ads-rule-10004</t>
  </si>
  <si>
    <t>From ADS data. Allow from 44.119.0.122</t>
  </si>
  <si>
    <t>ads-rule-10005</t>
  </si>
  <si>
    <t>From ADS data. Allow from 10.202.141.218</t>
  </si>
  <si>
    <t>ads-rule-10006</t>
  </si>
  <si>
    <t>From ADS data. Allow from 10.202.157.71</t>
  </si>
  <si>
    <t>ads-rule-10007</t>
  </si>
  <si>
    <t>From ADS data. Allow from 10.72.42.11</t>
  </si>
  <si>
    <t>ads-rule-10008</t>
  </si>
  <si>
    <t>From ADS data. Allow ephemeral ports from 10.72.42.11/32</t>
  </si>
  <si>
    <t>ads-rule-10009</t>
  </si>
  <si>
    <t>From ADS data. Allow from 10.222.75.220</t>
  </si>
  <si>
    <t>ads-rule-10010</t>
  </si>
  <si>
    <t>From ADS data. Allow from 10.201.3.196</t>
  </si>
  <si>
    <t>ads-rule-10011</t>
  </si>
  <si>
    <t>From ADS data. Allow ephemeral ports from 10.201.3.196/32</t>
  </si>
  <si>
    <t>ads-rule-10012</t>
  </si>
  <si>
    <t>From ADS data. Allow from 10.201.32.204</t>
  </si>
  <si>
    <t>ads-rule-10013</t>
  </si>
  <si>
    <t>ads-rule-10014</t>
  </si>
  <si>
    <t>From ADS data. Allow from 10.201.32.39</t>
  </si>
  <si>
    <t>ads-rule-10015</t>
  </si>
  <si>
    <t>From ADS data. Allow from 44.168.32.145</t>
  </si>
  <si>
    <t>ads-rule-10016</t>
  </si>
  <si>
    <t>ads-rule-10017</t>
  </si>
  <si>
    <t>From ADS data. Allow ephemeral ports from 44.168.32.145/32</t>
  </si>
  <si>
    <t>ads-rule-10018</t>
  </si>
  <si>
    <t>From ADS data. Allow from 10.201.32.11</t>
  </si>
  <si>
    <t>ads-rule-10019</t>
  </si>
  <si>
    <t>From ADS data. Allow from 10.202.165.20</t>
  </si>
  <si>
    <t>ads-rule-10020</t>
  </si>
  <si>
    <t>From ADS data. Allow from 10.202.166.37</t>
  </si>
  <si>
    <t>ads-rule-10021</t>
  </si>
  <si>
    <t>From ADS data. Allow from 10.202.157.89</t>
  </si>
  <si>
    <t>ads-rule-10022</t>
  </si>
  <si>
    <t>From ADS data. Allow from 10.202.157.190</t>
  </si>
  <si>
    <t>ads-rule-10023</t>
  </si>
  <si>
    <t>From ADS data. Allow from 10.201.32.205</t>
  </si>
  <si>
    <t>ads-rule-10024</t>
  </si>
  <si>
    <t>From ADS data. Allow from 10.201.49.102</t>
  </si>
  <si>
    <t>ads-rule-10025</t>
  </si>
  <si>
    <t>From ADS data. Allow from 10.196.66.117</t>
  </si>
  <si>
    <t>ads-rule-10026</t>
  </si>
  <si>
    <t>From ADS data. Allow from 10.222.71.171</t>
  </si>
  <si>
    <t>ads-rule-10027</t>
  </si>
  <si>
    <t>From ADS data. Allow from 10.222.75.54</t>
  </si>
  <si>
    <t>ads-rule-10028</t>
  </si>
  <si>
    <t>From ADS data. Allow from 10.202.167.93</t>
  </si>
  <si>
    <t>ads-rule-10029</t>
  </si>
  <si>
    <t>From ADS data. Allow from 10.202.157.132</t>
  </si>
  <si>
    <t>ads-rule-10030</t>
  </si>
  <si>
    <t>From ADS data. Allow from 10.222.129.172</t>
  </si>
  <si>
    <t>ads-rule-10031</t>
  </si>
  <si>
    <t>From ADS data. Allow from 44.119.0.120</t>
  </si>
  <si>
    <t>ads-rule-10032</t>
  </si>
  <si>
    <t>ads-rule-10033</t>
  </si>
  <si>
    <t>From ADS data. Allow from 10.202.157.234</t>
  </si>
  <si>
    <t>ads-rule-10034</t>
  </si>
  <si>
    <t>From ADS data. Allow from 10.222.67.86</t>
  </si>
  <si>
    <t>ads-rule-10035</t>
  </si>
  <si>
    <t>From ADS data. Allow from 10.202.157.238</t>
  </si>
  <si>
    <t>ads-rule-10036</t>
  </si>
  <si>
    <t>From ADS data. Allow from 10.202.157.69</t>
  </si>
  <si>
    <t>ads-rule-10037</t>
  </si>
  <si>
    <t>From ADS data. Allow from 10.222.68.85</t>
  </si>
  <si>
    <t>ads-rule-10038</t>
  </si>
  <si>
    <t>From ADS data. Allow from 10.202.157.235</t>
  </si>
  <si>
    <t>ads-rule-10039</t>
  </si>
  <si>
    <t>From ADS data. Allow from 10.222.75.225</t>
  </si>
  <si>
    <t>ads-rule-10040</t>
  </si>
  <si>
    <t>From ADS data. Allow from 44.119.8.159</t>
  </si>
  <si>
    <t>ads-rule-10041</t>
  </si>
  <si>
    <t>ads-rule-10042</t>
  </si>
  <si>
    <t>ads-rule-10043</t>
  </si>
  <si>
    <t>From ADS data. Allow ephemeral ports from 44.119.8.159/32</t>
  </si>
  <si>
    <t>ads-rule-10044</t>
  </si>
  <si>
    <t>From ADS data. Allow from 10.202.157.58</t>
  </si>
  <si>
    <t>ads-rule-10045</t>
  </si>
  <si>
    <t>From ADS data. Allow from 44.119.0.121</t>
  </si>
  <si>
    <t>ads-rule-10046</t>
  </si>
  <si>
    <t>From ADS data. Allow from 10.202.156.252</t>
  </si>
  <si>
    <t>ads-rule-10047</t>
  </si>
  <si>
    <t>From ADS data. Allow from 10.222.133.6</t>
  </si>
  <si>
    <t>ads-rule-10048</t>
  </si>
  <si>
    <t>From ADS data. Allow from 44.119.8.158</t>
  </si>
  <si>
    <t>ads-rule-10049</t>
  </si>
  <si>
    <t>ads-rule-10050</t>
  </si>
  <si>
    <t>ads-rule-10051</t>
  </si>
  <si>
    <t>From ADS data. Allow ephemeral ports from 44.119.8.158/32</t>
  </si>
  <si>
    <t>ads-rule-10052</t>
  </si>
  <si>
    <t>From ADS data. Allow from 10.202.157.143</t>
  </si>
  <si>
    <t>ads-rule-10053</t>
  </si>
  <si>
    <t>From ADS data. Allow from 10.222.68.107</t>
  </si>
  <si>
    <t>ads-rule-10054</t>
  </si>
  <si>
    <t>From ADS data. Allow from 10.202.157.147</t>
  </si>
  <si>
    <t>ads-rule-10055</t>
  </si>
  <si>
    <t>From ADS data. Allow from 10.202.157.184</t>
  </si>
  <si>
    <t>ads-rule-10056</t>
  </si>
  <si>
    <t>From ADS data. Allow from 10.202.157.115</t>
  </si>
  <si>
    <t>ads-rule-10057</t>
  </si>
  <si>
    <t>ads-rule-10058</t>
  </si>
  <si>
    <t>From ADS data. Allow from 10.202.166.4</t>
  </si>
  <si>
    <t>get router info routing-table details</t>
  </si>
  <si>
    <t>diagnose firewall iprope lookup</t>
  </si>
  <si>
    <t>aa</t>
  </si>
  <si>
    <t>10.201.32.203</t>
  </si>
  <si>
    <t>10.202.141.55</t>
  </si>
  <si>
    <t>44.119.0.122</t>
  </si>
  <si>
    <t>10.202.141.218</t>
  </si>
  <si>
    <t>10.202.157.71</t>
  </si>
  <si>
    <t>10.72.42.11</t>
  </si>
  <si>
    <t>10.222.75.220</t>
  </si>
  <si>
    <t>10.201.3.196</t>
  </si>
  <si>
    <t>10.201.32.204</t>
  </si>
  <si>
    <t>10.201.32.39</t>
  </si>
  <si>
    <t>44.168.32.145</t>
  </si>
  <si>
    <t>10.201.32.11</t>
  </si>
  <si>
    <t>10.202.165.20</t>
  </si>
  <si>
    <t>10.202.166.37</t>
  </si>
  <si>
    <t>10.202.157.89</t>
  </si>
  <si>
    <t>10.202.157.190</t>
  </si>
  <si>
    <t>10.201.32.205</t>
  </si>
  <si>
    <t>10.201.49.102</t>
  </si>
  <si>
    <t>10.196.66.117</t>
  </si>
  <si>
    <t>10.222.71.171</t>
  </si>
  <si>
    <t>10.222.75.54</t>
  </si>
  <si>
    <t>10.202.167.93</t>
  </si>
  <si>
    <t>10.202.157.132</t>
  </si>
  <si>
    <t>10.222.129.172</t>
  </si>
  <si>
    <t>44.119.0.120</t>
  </si>
  <si>
    <t>10.202.157.234</t>
  </si>
  <si>
    <t>10.222.67.86</t>
  </si>
  <si>
    <t>10.202.157.238</t>
  </si>
  <si>
    <t>10.202.157.69</t>
  </si>
  <si>
    <t>10.222.68.85</t>
  </si>
  <si>
    <t>10.202.157.235</t>
  </si>
  <si>
    <t>10.222.75.225</t>
  </si>
  <si>
    <t>44.119.8.159</t>
  </si>
  <si>
    <t>10.202.157.58</t>
  </si>
  <si>
    <t>44.119.0.121</t>
  </si>
  <si>
    <t>10.202.156.252</t>
  </si>
  <si>
    <t>10.222.133.6</t>
  </si>
  <si>
    <t>44.119.8.158</t>
  </si>
  <si>
    <t>10.202.157.143</t>
  </si>
  <si>
    <t>10.222.68.107</t>
  </si>
  <si>
    <t>10.202.157.147</t>
  </si>
  <si>
    <t>10.202.157.184</t>
  </si>
  <si>
    <t>10.202.157.115</t>
  </si>
  <si>
    <t>10.202.166.4</t>
  </si>
  <si>
    <t>E2-EH-PART</t>
  </si>
  <si>
    <t>E2-EH-AGN</t>
  </si>
  <si>
    <t>EH-VDI</t>
  </si>
  <si>
    <t>E2-EH-ADMOPE-1</t>
  </si>
  <si>
    <t>E2-EH-VDI-EXT</t>
  </si>
  <si>
    <t>E2-EH-VPN</t>
  </si>
  <si>
    <t>FR-E2-FW-EH-1-FNET $ diagnose firewall iprope lookup 10.201.32.203 101 10.201.0.201 101 tcp E2-EH-PART</t>
  </si>
  <si>
    <t>&lt;src [10.201.32.203-101] dst [10.201.0.201-101] proto tcp dev E2-EH-PART&gt; matches policy id: 7644</t>
  </si>
  <si>
    <t>FR-E2-FW-EH-1-FNET $ diagnose firewall iprope lookup 10.201.32.203 3389 10.201.0.201 3389 tcp E2-EH-PART</t>
  </si>
  <si>
    <t>&lt;src [10.201.32.203-3389] dst [10.201.0.201-3389] proto tcp dev E2-EH-PART&gt; matches policy id: 7644</t>
  </si>
  <si>
    <t>FR-E2-FW-EH-1-FNET $ diagnose firewall iprope lookup 10.202.141.55 445 10.201.0.201 445 tcp E2-EH-AGN</t>
  </si>
  <si>
    <t>&lt;src [10.202.141.55-445] dst [10.201.0.201-445] proto tcp dev E2-EH-AGN&gt; matches policy id: 4151</t>
  </si>
  <si>
    <t>FR-E2-FW-EH-1-FNET $ diagnose firewall iprope lookup 44.119.0.122 101 10.201.0.201 101 tcp E2-EH-AGN</t>
  </si>
  <si>
    <t>&lt;src [44.119.0.122-101] dst [10.201.0.201-101] proto tcp dev E2-EH-AGN&gt; matches policy id: 8184</t>
  </si>
  <si>
    <t>FR-E2-FW-EH-1-FNET $ diagnose firewall iprope lookup 10.202.141.218 445 10.201.0.201 445 tcp E2-EH-AGN</t>
  </si>
  <si>
    <t>&lt;src [10.202.141.218-445] dst [10.201.0.201-445] proto tcp dev E2-EH-AGN&gt; matches policy id: 4151</t>
  </si>
  <si>
    <t>FR-E2-FW-EH-1-FNET $ diagnose firewall iprope lookup 10.202.157.71 101 10.201.0.201 101 tcp E2-EH-AGN</t>
  </si>
  <si>
    <t>&lt;src [10.202.157.71-101] dst [10.201.0.201-101] proto tcp dev E2-EH-AGN&gt; matches policy id: 4151</t>
  </si>
  <si>
    <t>FR-E2-FW-EH-1-FNET $ diagnose firewall iprope lookup 10.72.42.11 135 10.201.0.201 135 tcp E2-EH-AGN</t>
  </si>
  <si>
    <t>&lt;src [10.72.42.11-135] dst [10.201.0.201-135] proto tcp dev E2-EH-AGN&gt; matches policy id: 8870</t>
  </si>
  <si>
    <t>FR-E2-FW-EH-1-FNET $ diagnose firewall iprope lookup 10.72.42.11 49152 10.201.0.201 65535 tcp E2-EH-AGN</t>
  </si>
  <si>
    <t>&lt;src [10.72.42.11-49152] dst [10.201.0.201-65535] proto tcp dev E2-EH-AGN&gt; matches policy id: 8870</t>
  </si>
  <si>
    <t>FR-E2-FW-EH-1-FNET $ diagnose firewall iprope lookup 10.222.75.220 101 10.201.0.201 101 tcp EH-VDI</t>
  </si>
  <si>
    <t>&lt;src [10.222.75.220-101] dst [10.201.0.201-101] proto tcp dev EH-VDI&gt; matches policy id: 4151</t>
  </si>
  <si>
    <t>FR-E2-FW-EH-1-FNET $ diagnose firewall iprope lookup 10.201.3.196 135 10.201.0.201 135 tcp E2-EH-ADMOPE-1</t>
  </si>
  <si>
    <t>&lt;src [10.201.3.196-135] dst [10.201.0.201-135] proto tcp dev E2-EH-ADMOPE-1&gt; matches policy id: 683</t>
  </si>
  <si>
    <t>FR-E2-FW-EH-1-FNET $ diagnose firewall iprope lookup 10.201.3.196 49152 10.201.0.201 65535 tcp E2-EH-ADMOPE-1</t>
  </si>
  <si>
    <t>&lt;src [10.201.3.196-49152] dst [10.201.0.201-65535] proto tcp dev E2-EH-ADMOPE-1&gt; matches policy id: 683</t>
  </si>
  <si>
    <t>FR-E2-FW-EH-1-FNET $ diagnose firewall iprope lookup 10.201.32.204 101 10.201.0.201 101 tcp E2-EH-PART</t>
  </si>
  <si>
    <t>&lt;src [10.201.32.204-101] dst [10.201.0.201-101] proto tcp dev E2-EH-PART&gt; matches policy id: 7644</t>
  </si>
  <si>
    <t>FR-E2-FW-EH-1-FNET $ diagnose firewall iprope lookup 10.201.32.204 3389 10.201.0.201 3389 tcp E2-EH-PART</t>
  </si>
  <si>
    <t>&lt;src [10.201.32.204-3389] dst [10.201.0.201-3389] proto tcp dev E2-EH-PART&gt; matches policy id: 7644</t>
  </si>
  <si>
    <t>FR-E2-FW-EH-1-FNET $ diagnose firewall iprope lookup 10.201.32.39 101 10.201.0.201 101 tcp E2-EH-PART</t>
  </si>
  <si>
    <t>&lt;src [10.201.32.39-101] dst [10.201.0.201-101] proto tcp dev E2-EH-PART&gt; matches policy id: 7644</t>
  </si>
  <si>
    <t>FR-E2-FW-EH-1-FNET $ diagnose firewall iprope lookup 44.168.32.145 80 10.201.0.201 80 tcp E2-EH-AGN</t>
  </si>
  <si>
    <t>&lt;src [44.168.32.145-80] dst [10.201.0.201-80] proto tcp dev E2-EH-AGN&gt; matches policy id: 4151</t>
  </si>
  <si>
    <t>FR-E2-FW-EH-1-FNET $ diagnose firewall iprope lookup 44.168.32.145 135 10.201.0.201 135 tcp E2-EH-AGN</t>
  </si>
  <si>
    <t>&lt;src [44.168.32.145-135] dst [10.201.0.201-135] proto tcp dev E2-EH-AGN&gt; matches policy id: 4151</t>
  </si>
  <si>
    <t>FR-E2-FW-EH-1-FNET $ diagnose firewall iprope lookup 44.168.32.145 49152 10.201.0.201 65535 tcp E2-EH-AGN</t>
  </si>
  <si>
    <t>&lt;src [44.168.32.145-49152] dst [10.201.0.201-65535] proto tcp dev E2-EH-AGN&gt; matches policy id: 4151</t>
  </si>
  <si>
    <t>FR-E2-FW-EH-1-FNET $ diagnose firewall iprope lookup 10.201.32.11 101 10.201.0.201 101 tcp E2-EH-PART</t>
  </si>
  <si>
    <t>&lt;src [10.201.32.11-101] dst [10.201.0.201-101] proto tcp dev E2-EH-PART&gt; matches policy id: 7644</t>
  </si>
  <si>
    <t>FR-E2-FW-EH-1-FNET $ diagnose firewall iprope lookup 10.202.165.20 101 10.201.0.201 101 tcp E2-EH-AGN</t>
  </si>
  <si>
    <t>&lt;src [10.202.165.20-101] dst [10.201.0.201-101] proto tcp dev E2-EH-AGN&gt; matches policy id: 4151</t>
  </si>
  <si>
    <t>FR-E2-FW-EH-1-FNET $ diagnose firewall iprope lookup 10.202.166.37 101 10.201.0.201 101 tcp E2-EH-AGN</t>
  </si>
  <si>
    <t>&lt;src [10.202.166.37-101] dst [10.201.0.201-101] proto tcp dev E2-EH-AGN&gt; matches policy id: 4151</t>
  </si>
  <si>
    <t>FR-E2-FW-EH-1-FNET $ diagnose firewall iprope lookup 10.202.157.89 101 10.201.0.201 101 tcp E2-EH-AGN</t>
  </si>
  <si>
    <t>&lt;src [10.202.157.89-101] dst [10.201.0.201-101] proto tcp dev E2-EH-AGN&gt; matches policy id: 4151</t>
  </si>
  <si>
    <t>FR-E2-FW-EH-1-FNET $ diagnose firewall iprope lookup 10.202.157.190 101 10.201.0.201 101 tcp E2-EH-AGN</t>
  </si>
  <si>
    <t>&lt;src [10.202.157.190-101] dst [10.201.0.201-101] proto tcp dev E2-EH-AGN&gt; matches policy id: 4151</t>
  </si>
  <si>
    <t>FR-E2-FW-EH-1-FNET $ diagnose firewall iprope lookup 10.201.32.205 101 10.201.0.201 101 tcp E2-EH-PART</t>
  </si>
  <si>
    <t>&lt;src [10.201.32.205-101] dst [10.201.0.201-101] proto tcp dev E2-EH-PART&gt; matches policy id: 7644</t>
  </si>
  <si>
    <t>FR-E2-FW-EH-1-FNET $ diagnose firewall iprope lookup 10.201.49.102 101 10.201.0.201 101 tcp E2-EH-VDI-EXT</t>
  </si>
  <si>
    <t>&lt;src [10.201.49.102-101] dst [10.201.0.201-101] proto tcp dev E2-EH-VDI-EXT&gt; matches policy id: 685</t>
  </si>
  <si>
    <t>FR-E2-FW-EH-1-FNET $ diagnose firewall iprope lookup 10.196.66.117 445 10.201.0.201 445 tcp E2-EH-VPN</t>
  </si>
  <si>
    <t>&lt;src [10.196.66.117-445] dst [10.201.0.201-445] proto tcp dev E2-EH-VPN&gt; matches policy id: 5189</t>
  </si>
  <si>
    <t>FR-E2-FW-EH-1-FNET $ diagnose firewall iprope lookup 10.222.71.171 3389 10.201.0.201 3389 tcp EH-VDI</t>
  </si>
  <si>
    <t>&lt;src [10.222.71.171-3389] dst [10.201.0.201-3389] proto tcp dev EH-VDI&gt; matches policy id: 4151</t>
  </si>
  <si>
    <t>FR-E2-FW-EH-1-FNET $ diagnose firewall iprope lookup 10.222.75.54 101 10.201.0.201 101 tcp EH-VDI</t>
  </si>
  <si>
    <t>&lt;src [10.222.75.54-101] dst [10.201.0.201-101] proto tcp dev EH-VDI&gt; matches policy id: 4151</t>
  </si>
  <si>
    <t>FR-E2-FW-EH-1-FNET $ diagnose firewall iprope lookup 10.202.167.93 101 10.201.0.201 101 tcp E2-EH-AGN</t>
  </si>
  <si>
    <t>&lt;src [10.202.167.93-101] dst [10.201.0.201-101] proto tcp dev E2-EH-AGN&gt; matches policy id: 4151</t>
  </si>
  <si>
    <t>FR-E2-FW-EH-1-FNET $ diagnose firewall iprope lookup 10.202.157.132 101 10.201.0.201 101 tcp E2-EH-AGN</t>
  </si>
  <si>
    <t>&lt;src [10.202.157.132-101] dst [10.201.0.201-101] proto tcp dev E2-EH-AGN&gt; matches policy id: 4151</t>
  </si>
  <si>
    <t>FR-E2-FW-EH-1-FNET $ diagnose firewall iprope lookup 10.222.129.172 101 10.201.0.201 101 tcp E2-EH-AGN</t>
  </si>
  <si>
    <t>&lt;src [10.222.129.172-101] dst [10.201.0.201-101] proto tcp dev E2-EH-AGN&gt; matches policy id: 4151</t>
  </si>
  <si>
    <t>FR-E2-FW-EH-1-FNET $ diagnose firewall iprope lookup 44.119.0.120 101 10.201.0.201 101 tcp E2-EH-AGN</t>
  </si>
  <si>
    <t>&lt;src [44.119.0.120-101] dst [10.201.0.201-101] proto tcp dev E2-EH-AGN&gt; matches policy id: 8184</t>
  </si>
  <si>
    <t>FR-E2-FW-EH-1-FNET $ diagnose firewall iprope lookup 44.119.0.120 3389 10.201.0.201 3389 tcp E2-EH-AGN</t>
  </si>
  <si>
    <t>&lt;src [44.119.0.120-3389] dst [10.201.0.201-3389] proto tcp dev E2-EH-AGN&gt; matches policy id: 8184</t>
  </si>
  <si>
    <t>FR-E2-FW-EH-1-FNET $ diagnose firewall iprope lookup 10.202.157.234 101 10.201.0.201 101 tcp E2-EH-AGN</t>
  </si>
  <si>
    <t>&lt;src [10.202.157.234-101] dst [10.201.0.201-101] proto tcp dev E2-EH-AGN&gt; matches policy id: 4151</t>
  </si>
  <si>
    <t>FR-E2-FW-EH-1-FNET $ diagnose firewall iprope lookup 10.222.67.86 3389 10.201.0.201 3389 tcp EH-VDI</t>
  </si>
  <si>
    <t>&lt;src [10.222.67.86-3389] dst [10.201.0.201-3389] proto tcp dev EH-VDI&gt; matches policy id: 4151</t>
  </si>
  <si>
    <t>FR-E2-FW-EH-1-FNET $ diagnose firewall iprope lookup 10.202.157.238 101 10.201.0.201 101 tcp E2-EH-AGN</t>
  </si>
  <si>
    <t>&lt;src [10.202.157.238-101] dst [10.201.0.201-101] proto tcp dev E2-EH-AGN&gt; matches policy id: 4151</t>
  </si>
  <si>
    <t>FR-E2-FW-EH-1-FNET $ diagnose firewall iprope lookup 10.202.157.69 101 10.201.0.201 101 tcp E2-EH-AGN</t>
  </si>
  <si>
    <t>&lt;src [10.202.157.69-101] dst [10.201.0.201-101] proto tcp dev E2-EH-AGN&gt; matches policy id: 4151</t>
  </si>
  <si>
    <t>FR-E2-FW-EH-1-FNET $ diagnose firewall iprope lookup 10.222.68.85 3389 10.201.0.201 3389 tcp EH-VDI</t>
  </si>
  <si>
    <t>&lt;src [10.222.68.85-3389] dst [10.201.0.201-3389] proto tcp dev EH-VDI&gt; matches policy id: 4151</t>
  </si>
  <si>
    <t>FR-E2-FW-EH-1-FNET $ diagnose firewall iprope lookup 10.202.157.235 101 10.201.0.201 101 tcp E2-EH-AGN</t>
  </si>
  <si>
    <t>&lt;src [10.202.157.235-101] dst [10.201.0.201-101] proto tcp dev E2-EH-AGN&gt; matches policy id: 4151</t>
  </si>
  <si>
    <t>FR-E2-FW-EH-1-FNET $ diagnose firewall iprope lookup 10.222.75.225 3389 10.201.0.201 3389 tcp EH-VDI</t>
  </si>
  <si>
    <t>&lt;src [10.222.75.225-3389] dst [10.201.0.201-3389] proto tcp dev EH-VDI&gt; matches policy id: 4151</t>
  </si>
  <si>
    <t>FR-E2-FW-EH-1-FNET $ diagnose firewall iprope lookup 44.119.8.159 5985 10.201.0.201 5985 tcp E2-EH-AGN</t>
  </si>
  <si>
    <t>&lt;src [44.119.8.159-5985] dst [10.201.0.201-5985] proto tcp dev E2-EH-AGN&gt; matches policy id: 8184</t>
  </si>
  <si>
    <t>FR-E2-FW-EH-1-FNET $ diagnose firewall iprope lookup 44.119.8.159 445 10.201.0.201 445 tcp E2-EH-AGN</t>
  </si>
  <si>
    <t>&lt;src [44.119.8.159-445] dst [10.201.0.201-445] proto tcp dev E2-EH-AGN&gt; matches policy id: 8184</t>
  </si>
  <si>
    <t>FR-E2-FW-EH-1-FNET $ diagnose firewall iprope lookup 44.119.8.159 135 10.201.0.201 135 tcp E2-EH-AGN</t>
  </si>
  <si>
    <t>&lt;src [44.119.8.159-135] dst [10.201.0.201-135] proto tcp dev E2-EH-AGN&gt; matches policy id: 8184</t>
  </si>
  <si>
    <t>FR-E2-FW-EH-1-FNET $ diagnose firewall iprope lookup 44.119.8.159 49152 10.201.0.201 65535 tcp E2-EH-AGN</t>
  </si>
  <si>
    <t>&lt;src [44.119.8.159-49152] dst [10.201.0.201-65535] proto tcp dev E2-EH-AGN&gt; matches policy id: 8184</t>
  </si>
  <si>
    <t>FR-E2-FW-EH-1-FNET $ diagnose firewall iprope lookup 10.202.157.58 101 10.201.0.201 101 tcp E2-EH-AGN</t>
  </si>
  <si>
    <t>&lt;src [10.202.157.58-101] dst [10.201.0.201-101] proto tcp dev E2-EH-AGN&gt; matches policy id: 4151</t>
  </si>
  <si>
    <t>FR-E2-FW-EH-1-FNET $ diagnose firewall iprope lookup 44.119.0.121 101 10.201.0.201 101 tcp E2-EH-AGN</t>
  </si>
  <si>
    <t>&lt;src [44.119.0.121-101] dst [10.201.0.201-101] proto tcp dev E2-EH-AGN&gt; matches policy id: 8184</t>
  </si>
  <si>
    <t>FR-E2-FW-EH-1-FNET $ diagnose firewall iprope lookup 10.202.156.252 101 10.201.0.201 101 tcp E2-EH-AGN</t>
  </si>
  <si>
    <t>&lt;src [10.202.156.252-101] dst [10.201.0.201-101] proto tcp dev E2-EH-AGN&gt; matches policy id: 4151</t>
  </si>
  <si>
    <t>FR-E2-FW-EH-1-FNET $ diagnose firewall iprope lookup 10.222.133.6 101 10.201.0.201 101 tcp E2-EH-AGN</t>
  </si>
  <si>
    <t>&lt;src [10.222.133.6-101] dst [10.201.0.201-101] proto tcp dev E2-EH-AGN&gt; matches policy id: 4151</t>
  </si>
  <si>
    <t>FR-E2-FW-EH-1-FNET $ diagnose firewall iprope lookup 44.119.8.158 135 10.201.0.201 135 tcp E2-EH-AGN</t>
  </si>
  <si>
    <t>&lt;src [44.119.8.158-135] dst [10.201.0.201-135] proto tcp dev E2-EH-AGN&gt; matches policy id: 8184</t>
  </si>
  <si>
    <t>FR-E2-FW-EH-1-FNET $ diagnose firewall iprope lookup 44.119.8.158 445 10.201.0.201 445 tcp E2-EH-AGN</t>
  </si>
  <si>
    <t>&lt;src [44.119.8.158-445] dst [10.201.0.201-445] proto tcp dev E2-EH-AGN&gt; matches policy id: 8184</t>
  </si>
  <si>
    <t>FR-E2-FW-EH-1-FNET $ diagnose firewall iprope lookup 44.119.8.158 5985 10.201.0.201 5985 tcp E2-EH-AGN</t>
  </si>
  <si>
    <t>&lt;src [44.119.8.158-5985] dst [10.201.0.201-5985] proto tcp dev E2-EH-AGN&gt; matches policy id: 8184</t>
  </si>
  <si>
    <t>FR-E2-FW-EH-1-FNET $ diagnose firewall iprope lookup 44.119.8.158 49152 10.201.0.201 65535 tcp E2-EH-AGN</t>
  </si>
  <si>
    <t>&lt;src [44.119.8.158-49152] dst [10.201.0.201-65535] proto tcp dev E2-EH-AGN&gt; matches policy id: 8184</t>
  </si>
  <si>
    <t>FR-E2-FW-EH-1-FNET $ diagnose firewall iprope lookup 10.202.157.143 101 10.201.0.201 101 tcp E2-EH-AGN</t>
  </si>
  <si>
    <t>&lt;src [10.202.157.143-101] dst [10.201.0.201-101] proto tcp dev E2-EH-AGN&gt; matches policy id: 4151</t>
  </si>
  <si>
    <t>FR-E2-FW-EH-1-FNET $ diagnose firewall iprope lookup 10.222.68.107 101 10.201.0.201 101 tcp EH-VDI</t>
  </si>
  <si>
    <t>&lt;src [10.222.68.107-101] dst [10.201.0.201-101] proto tcp dev EH-VDI&gt; matches policy id: 4151</t>
  </si>
  <si>
    <t>FR-E2-FW-EH-1-FNET $ diagnose firewall iprope lookup 10.202.157.147 101 10.201.0.201 101 tcp E2-EH-AGN</t>
  </si>
  <si>
    <t>&lt;src [10.202.157.147-101] dst [10.201.0.201-101] proto tcp dev E2-EH-AGN&gt; matches policy id: 4151</t>
  </si>
  <si>
    <t>FR-E2-FW-EH-1-FNET $ diagnose firewall iprope lookup 10.202.157.184 101 10.201.0.201 101 tcp E2-EH-AGN</t>
  </si>
  <si>
    <t>&lt;src [10.202.157.184-101] dst [10.201.0.201-101] proto tcp dev E2-EH-AGN&gt; matches policy id: 4151</t>
  </si>
  <si>
    <t>FR-E2-FW-EH-1-FNET $ diagnose firewall iprope lookup 10.202.157.115 101 10.201.0.201 101 tcp E2-EH-AGN</t>
  </si>
  <si>
    <t>&lt;src [10.202.157.115-101] dst [10.201.0.201-101] proto tcp dev E2-EH-AGN&gt; matches policy id: 4151</t>
  </si>
  <si>
    <t>FR-E2-FW-EH-1-FNET $ diagnose firewall iprope lookup 10.202.157.115 445 10.201.0.201 445 tcp E2-EH-AGN</t>
  </si>
  <si>
    <t>&lt;src [10.202.157.115-445] dst [10.201.0.201-445] proto tcp dev E2-EH-AGN&gt; matches policy id: 4151</t>
  </si>
  <si>
    <t>FR-E2-FW-EH-1-FNET $ diagnose firewall iprope lookup 10.202.166.4 101 10.201.0.201 101 tcp E2-EH-AGN</t>
  </si>
  <si>
    <t>&lt;src [10.202.166.4-101] dst [10.201.0.201-101] proto tcp dev E2-EH-AGN&gt; matches policy id: 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</si>
</sst>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9FB6-7924-41E1-BAC2-DD46EE8393D6}">
  <dimension ref="A1:Q59"/>
  <sheetViews>
    <sheetView topLeftCell="O38" workbookViewId="0">
      <selection activeCell="Q2" sqref="Q2:Q59"/>
    </sheetView>
  </sheetViews>
  <sheetFormatPr defaultColWidth="20.75" defaultRowHeight="14" x14ac:dyDescent="0.3"/>
  <cols>
    <col min="6" max="8" width="0" hidden="1" customWidth="1"/>
    <col min="14" max="14" width="52.25" bestFit="1" customWidth="1"/>
    <col min="15" max="15" width="25.75" bestFit="1" customWidth="1"/>
    <col min="16" max="16" width="25.75" style="2" customWidth="1"/>
    <col min="17" max="17" width="7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124</v>
      </c>
      <c r="N1" t="s">
        <v>124</v>
      </c>
      <c r="O1" t="s">
        <v>124</v>
      </c>
      <c r="P1" s="2" t="s">
        <v>124</v>
      </c>
      <c r="Q1" t="s">
        <v>124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125</v>
      </c>
      <c r="I2" t="s">
        <v>16</v>
      </c>
      <c r="J2">
        <v>101</v>
      </c>
      <c r="K2">
        <v>101</v>
      </c>
      <c r="M2" s="1" t="s">
        <v>122</v>
      </c>
      <c r="N2" s="2" t="str">
        <f>_xlfn.CONCAT(M2," ",E2, " | grep -f *")</f>
        <v>get router info routing-table details 10.201.32.203 | grep -f *</v>
      </c>
      <c r="O2" s="1" t="s">
        <v>123</v>
      </c>
      <c r="P2" s="2" t="s">
        <v>169</v>
      </c>
      <c r="Q2" s="1" t="str">
        <f>_xlfn.CONCAT(O2," ",E2," ",J2," 10.201.0.201 ",K2, " tcp ",P2,"")</f>
        <v>diagnose firewall iprope lookup 10.201.32.203 101 10.201.0.201 101 tcp E2-EH-PART</v>
      </c>
    </row>
    <row r="3" spans="1:17" x14ac:dyDescent="0.3">
      <c r="A3" t="s">
        <v>12</v>
      </c>
      <c r="B3" t="s">
        <v>13</v>
      </c>
      <c r="C3" t="s">
        <v>17</v>
      </c>
      <c r="D3" t="s">
        <v>15</v>
      </c>
      <c r="E3" t="s">
        <v>125</v>
      </c>
      <c r="I3" t="s">
        <v>16</v>
      </c>
      <c r="J3">
        <v>3389</v>
      </c>
      <c r="K3">
        <v>3389</v>
      </c>
      <c r="M3" s="2" t="s">
        <v>122</v>
      </c>
      <c r="N3" s="2" t="str">
        <f t="shared" ref="N3:N59" si="0">_xlfn.CONCAT(M3," ",E3, " | grep -f *")</f>
        <v>get router info routing-table details 10.201.32.203 | grep -f *</v>
      </c>
      <c r="O3" s="2" t="s">
        <v>123</v>
      </c>
      <c r="P3" s="2" t="s">
        <v>169</v>
      </c>
      <c r="Q3" s="2" t="str">
        <f t="shared" ref="Q3:Q59" si="1">_xlfn.CONCAT(O3," ",E3," ",J3," 10.201.0.201 ",K3, " tcp ",P3,"")</f>
        <v>diagnose firewall iprope lookup 10.201.32.203 3389 10.201.0.201 3389 tcp E2-EH-PART</v>
      </c>
    </row>
    <row r="4" spans="1:17" x14ac:dyDescent="0.3">
      <c r="A4" t="s">
        <v>12</v>
      </c>
      <c r="B4" t="s">
        <v>13</v>
      </c>
      <c r="C4" t="s">
        <v>18</v>
      </c>
      <c r="D4" t="s">
        <v>19</v>
      </c>
      <c r="E4" t="s">
        <v>126</v>
      </c>
      <c r="I4" t="s">
        <v>16</v>
      </c>
      <c r="J4">
        <v>445</v>
      </c>
      <c r="K4">
        <v>445</v>
      </c>
      <c r="M4" s="2" t="s">
        <v>122</v>
      </c>
      <c r="N4" s="2" t="str">
        <f t="shared" si="0"/>
        <v>get router info routing-table details 10.202.141.55 | grep -f *</v>
      </c>
      <c r="O4" s="2" t="s">
        <v>123</v>
      </c>
      <c r="P4" s="2" t="s">
        <v>170</v>
      </c>
      <c r="Q4" s="2" t="str">
        <f t="shared" si="1"/>
        <v>diagnose firewall iprope lookup 10.202.141.55 445 10.201.0.201 445 tcp E2-EH-AGN</v>
      </c>
    </row>
    <row r="5" spans="1:17" x14ac:dyDescent="0.3">
      <c r="A5" t="s">
        <v>12</v>
      </c>
      <c r="B5" t="s">
        <v>13</v>
      </c>
      <c r="C5" t="s">
        <v>20</v>
      </c>
      <c r="D5" t="s">
        <v>21</v>
      </c>
      <c r="E5" t="s">
        <v>127</v>
      </c>
      <c r="I5" t="s">
        <v>16</v>
      </c>
      <c r="J5">
        <v>101</v>
      </c>
      <c r="K5">
        <v>101</v>
      </c>
      <c r="M5" s="2" t="s">
        <v>122</v>
      </c>
      <c r="N5" s="2" t="str">
        <f t="shared" si="0"/>
        <v>get router info routing-table details 44.119.0.122 | grep -f *</v>
      </c>
      <c r="O5" s="2" t="s">
        <v>123</v>
      </c>
      <c r="P5" s="2" t="s">
        <v>170</v>
      </c>
      <c r="Q5" s="2" t="str">
        <f t="shared" si="1"/>
        <v>diagnose firewall iprope lookup 44.119.0.122 101 10.201.0.201 101 tcp E2-EH-AGN</v>
      </c>
    </row>
    <row r="6" spans="1:17" x14ac:dyDescent="0.3">
      <c r="A6" t="s">
        <v>12</v>
      </c>
      <c r="B6" t="s">
        <v>13</v>
      </c>
      <c r="C6" t="s">
        <v>22</v>
      </c>
      <c r="D6" t="s">
        <v>23</v>
      </c>
      <c r="E6" t="s">
        <v>128</v>
      </c>
      <c r="I6" t="s">
        <v>16</v>
      </c>
      <c r="J6">
        <v>445</v>
      </c>
      <c r="K6">
        <v>445</v>
      </c>
      <c r="M6" s="2" t="s">
        <v>122</v>
      </c>
      <c r="N6" s="2" t="str">
        <f t="shared" si="0"/>
        <v>get router info routing-table details 10.202.141.218 | grep -f *</v>
      </c>
      <c r="O6" s="2" t="s">
        <v>123</v>
      </c>
      <c r="P6" s="2" t="s">
        <v>170</v>
      </c>
      <c r="Q6" s="2" t="str">
        <f t="shared" si="1"/>
        <v>diagnose firewall iprope lookup 10.202.141.218 445 10.201.0.201 445 tcp E2-EH-AGN</v>
      </c>
    </row>
    <row r="7" spans="1:17" x14ac:dyDescent="0.3">
      <c r="A7" t="s">
        <v>12</v>
      </c>
      <c r="B7" t="s">
        <v>13</v>
      </c>
      <c r="C7" t="s">
        <v>24</v>
      </c>
      <c r="D7" t="s">
        <v>25</v>
      </c>
      <c r="E7" t="s">
        <v>129</v>
      </c>
      <c r="I7" t="s">
        <v>16</v>
      </c>
      <c r="J7">
        <v>101</v>
      </c>
      <c r="K7">
        <v>101</v>
      </c>
      <c r="M7" s="2" t="s">
        <v>122</v>
      </c>
      <c r="N7" s="2" t="str">
        <f t="shared" si="0"/>
        <v>get router info routing-table details 10.202.157.71 | grep -f *</v>
      </c>
      <c r="O7" s="2" t="s">
        <v>123</v>
      </c>
      <c r="P7" s="2" t="s">
        <v>170</v>
      </c>
      <c r="Q7" s="2" t="str">
        <f t="shared" si="1"/>
        <v>diagnose firewall iprope lookup 10.202.157.71 101 10.201.0.201 101 tcp E2-EH-AGN</v>
      </c>
    </row>
    <row r="8" spans="1:17" x14ac:dyDescent="0.3">
      <c r="A8" t="s">
        <v>12</v>
      </c>
      <c r="B8" t="s">
        <v>13</v>
      </c>
      <c r="C8" t="s">
        <v>26</v>
      </c>
      <c r="D8" t="s">
        <v>27</v>
      </c>
      <c r="E8" t="s">
        <v>130</v>
      </c>
      <c r="I8" t="s">
        <v>16</v>
      </c>
      <c r="J8">
        <v>135</v>
      </c>
      <c r="K8">
        <v>135</v>
      </c>
      <c r="M8" s="2" t="s">
        <v>122</v>
      </c>
      <c r="N8" s="2" t="str">
        <f t="shared" si="0"/>
        <v>get router info routing-table details 10.72.42.11 | grep -f *</v>
      </c>
      <c r="O8" s="2" t="s">
        <v>123</v>
      </c>
      <c r="P8" s="2" t="s">
        <v>170</v>
      </c>
      <c r="Q8" s="2" t="str">
        <f t="shared" si="1"/>
        <v>diagnose firewall iprope lookup 10.72.42.11 135 10.201.0.201 135 tcp E2-EH-AGN</v>
      </c>
    </row>
    <row r="9" spans="1:17" x14ac:dyDescent="0.3">
      <c r="A9" t="s">
        <v>12</v>
      </c>
      <c r="B9" t="s">
        <v>13</v>
      </c>
      <c r="C9" t="s">
        <v>28</v>
      </c>
      <c r="D9" t="s">
        <v>29</v>
      </c>
      <c r="E9" t="s">
        <v>130</v>
      </c>
      <c r="I9" t="s">
        <v>16</v>
      </c>
      <c r="J9">
        <v>49152</v>
      </c>
      <c r="K9">
        <v>65535</v>
      </c>
      <c r="M9" s="2" t="s">
        <v>122</v>
      </c>
      <c r="N9" s="2" t="str">
        <f t="shared" si="0"/>
        <v>get router info routing-table details 10.72.42.11 | grep -f *</v>
      </c>
      <c r="O9" s="2" t="s">
        <v>123</v>
      </c>
      <c r="P9" s="2" t="s">
        <v>170</v>
      </c>
      <c r="Q9" s="2" t="str">
        <f t="shared" si="1"/>
        <v>diagnose firewall iprope lookup 10.72.42.11 49152 10.201.0.201 65535 tcp E2-EH-AGN</v>
      </c>
    </row>
    <row r="10" spans="1:17" x14ac:dyDescent="0.3">
      <c r="A10" t="s">
        <v>12</v>
      </c>
      <c r="B10" t="s">
        <v>13</v>
      </c>
      <c r="C10" t="s">
        <v>30</v>
      </c>
      <c r="D10" t="s">
        <v>31</v>
      </c>
      <c r="E10" t="s">
        <v>131</v>
      </c>
      <c r="I10" t="s">
        <v>16</v>
      </c>
      <c r="J10">
        <v>101</v>
      </c>
      <c r="K10">
        <v>101</v>
      </c>
      <c r="M10" s="2" t="s">
        <v>122</v>
      </c>
      <c r="N10" s="2" t="str">
        <f t="shared" si="0"/>
        <v>get router info routing-table details 10.222.75.220 | grep -f *</v>
      </c>
      <c r="O10" s="2" t="s">
        <v>123</v>
      </c>
      <c r="P10" s="2" t="s">
        <v>171</v>
      </c>
      <c r="Q10" s="2" t="str">
        <f t="shared" si="1"/>
        <v>diagnose firewall iprope lookup 10.222.75.220 101 10.201.0.201 101 tcp EH-VDI</v>
      </c>
    </row>
    <row r="11" spans="1:17" x14ac:dyDescent="0.3">
      <c r="A11" t="s">
        <v>12</v>
      </c>
      <c r="B11" t="s">
        <v>13</v>
      </c>
      <c r="C11" t="s">
        <v>32</v>
      </c>
      <c r="D11" t="s">
        <v>33</v>
      </c>
      <c r="E11" t="s">
        <v>132</v>
      </c>
      <c r="I11" t="s">
        <v>16</v>
      </c>
      <c r="J11">
        <v>135</v>
      </c>
      <c r="K11">
        <v>135</v>
      </c>
      <c r="M11" s="2" t="s">
        <v>122</v>
      </c>
      <c r="N11" s="2" t="str">
        <f t="shared" si="0"/>
        <v>get router info routing-table details 10.201.3.196 | grep -f *</v>
      </c>
      <c r="O11" s="2" t="s">
        <v>123</v>
      </c>
      <c r="P11" s="2" t="s">
        <v>172</v>
      </c>
      <c r="Q11" s="2" t="str">
        <f t="shared" si="1"/>
        <v>diagnose firewall iprope lookup 10.201.3.196 135 10.201.0.201 135 tcp E2-EH-ADMOPE-1</v>
      </c>
    </row>
    <row r="12" spans="1:17" x14ac:dyDescent="0.3">
      <c r="A12" t="s">
        <v>12</v>
      </c>
      <c r="B12" t="s">
        <v>13</v>
      </c>
      <c r="C12" t="s">
        <v>34</v>
      </c>
      <c r="D12" t="s">
        <v>35</v>
      </c>
      <c r="E12" t="s">
        <v>132</v>
      </c>
      <c r="I12" t="s">
        <v>16</v>
      </c>
      <c r="J12">
        <v>49152</v>
      </c>
      <c r="K12">
        <v>65535</v>
      </c>
      <c r="M12" s="2" t="s">
        <v>122</v>
      </c>
      <c r="N12" s="2" t="str">
        <f t="shared" si="0"/>
        <v>get router info routing-table details 10.201.3.196 | grep -f *</v>
      </c>
      <c r="O12" s="2" t="s">
        <v>123</v>
      </c>
      <c r="P12" s="2" t="s">
        <v>172</v>
      </c>
      <c r="Q12" s="2" t="str">
        <f t="shared" si="1"/>
        <v>diagnose firewall iprope lookup 10.201.3.196 49152 10.201.0.201 65535 tcp E2-EH-ADMOPE-1</v>
      </c>
    </row>
    <row r="13" spans="1:17" x14ac:dyDescent="0.3">
      <c r="A13" t="s">
        <v>12</v>
      </c>
      <c r="B13" t="s">
        <v>13</v>
      </c>
      <c r="C13" t="s">
        <v>36</v>
      </c>
      <c r="D13" t="s">
        <v>37</v>
      </c>
      <c r="E13" t="s">
        <v>133</v>
      </c>
      <c r="I13" t="s">
        <v>16</v>
      </c>
      <c r="J13">
        <v>101</v>
      </c>
      <c r="K13">
        <v>101</v>
      </c>
      <c r="M13" s="2" t="s">
        <v>122</v>
      </c>
      <c r="N13" s="2" t="str">
        <f t="shared" si="0"/>
        <v>get router info routing-table details 10.201.32.204 | grep -f *</v>
      </c>
      <c r="O13" s="2" t="s">
        <v>123</v>
      </c>
      <c r="P13" s="2" t="s">
        <v>169</v>
      </c>
      <c r="Q13" s="2" t="str">
        <f t="shared" si="1"/>
        <v>diagnose firewall iprope lookup 10.201.32.204 101 10.201.0.201 101 tcp E2-EH-PART</v>
      </c>
    </row>
    <row r="14" spans="1:17" x14ac:dyDescent="0.3">
      <c r="A14" t="s">
        <v>12</v>
      </c>
      <c r="B14" t="s">
        <v>13</v>
      </c>
      <c r="C14" t="s">
        <v>38</v>
      </c>
      <c r="D14" t="s">
        <v>37</v>
      </c>
      <c r="E14" t="s">
        <v>133</v>
      </c>
      <c r="I14" t="s">
        <v>16</v>
      </c>
      <c r="J14">
        <v>3389</v>
      </c>
      <c r="K14">
        <v>3389</v>
      </c>
      <c r="M14" s="2" t="s">
        <v>122</v>
      </c>
      <c r="N14" s="2" t="str">
        <f t="shared" si="0"/>
        <v>get router info routing-table details 10.201.32.204 | grep -f *</v>
      </c>
      <c r="O14" s="2" t="s">
        <v>123</v>
      </c>
      <c r="P14" s="2" t="s">
        <v>169</v>
      </c>
      <c r="Q14" s="2" t="str">
        <f t="shared" si="1"/>
        <v>diagnose firewall iprope lookup 10.201.32.204 3389 10.201.0.201 3389 tcp E2-EH-PART</v>
      </c>
    </row>
    <row r="15" spans="1:17" x14ac:dyDescent="0.3">
      <c r="A15" t="s">
        <v>12</v>
      </c>
      <c r="B15" t="s">
        <v>13</v>
      </c>
      <c r="C15" t="s">
        <v>39</v>
      </c>
      <c r="D15" t="s">
        <v>40</v>
      </c>
      <c r="E15" t="s">
        <v>134</v>
      </c>
      <c r="I15" t="s">
        <v>16</v>
      </c>
      <c r="J15">
        <v>101</v>
      </c>
      <c r="K15">
        <v>101</v>
      </c>
      <c r="M15" s="2" t="s">
        <v>122</v>
      </c>
      <c r="N15" s="2" t="str">
        <f t="shared" si="0"/>
        <v>get router info routing-table details 10.201.32.39 | grep -f *</v>
      </c>
      <c r="O15" s="2" t="s">
        <v>123</v>
      </c>
      <c r="P15" s="2" t="s">
        <v>169</v>
      </c>
      <c r="Q15" s="2" t="str">
        <f t="shared" si="1"/>
        <v>diagnose firewall iprope lookup 10.201.32.39 101 10.201.0.201 101 tcp E2-EH-PART</v>
      </c>
    </row>
    <row r="16" spans="1:17" x14ac:dyDescent="0.3">
      <c r="A16" t="s">
        <v>12</v>
      </c>
      <c r="B16" t="s">
        <v>13</v>
      </c>
      <c r="C16" t="s">
        <v>41</v>
      </c>
      <c r="D16" t="s">
        <v>42</v>
      </c>
      <c r="E16" t="s">
        <v>135</v>
      </c>
      <c r="I16" t="s">
        <v>16</v>
      </c>
      <c r="J16">
        <v>80</v>
      </c>
      <c r="K16">
        <v>80</v>
      </c>
      <c r="M16" s="2" t="s">
        <v>122</v>
      </c>
      <c r="N16" s="2" t="str">
        <f t="shared" si="0"/>
        <v>get router info routing-table details 44.168.32.145 | grep -f *</v>
      </c>
      <c r="O16" s="2" t="s">
        <v>123</v>
      </c>
      <c r="P16" s="2" t="s">
        <v>170</v>
      </c>
      <c r="Q16" s="2" t="str">
        <f t="shared" si="1"/>
        <v>diagnose firewall iprope lookup 44.168.32.145 80 10.201.0.201 80 tcp E2-EH-AGN</v>
      </c>
    </row>
    <row r="17" spans="1:17" x14ac:dyDescent="0.3">
      <c r="A17" t="s">
        <v>12</v>
      </c>
      <c r="B17" t="s">
        <v>13</v>
      </c>
      <c r="C17" t="s">
        <v>43</v>
      </c>
      <c r="D17" t="s">
        <v>42</v>
      </c>
      <c r="E17" t="s">
        <v>135</v>
      </c>
      <c r="I17" t="s">
        <v>16</v>
      </c>
      <c r="J17">
        <v>135</v>
      </c>
      <c r="K17">
        <v>135</v>
      </c>
      <c r="M17" s="2" t="s">
        <v>122</v>
      </c>
      <c r="N17" s="2" t="str">
        <f t="shared" si="0"/>
        <v>get router info routing-table details 44.168.32.145 | grep -f *</v>
      </c>
      <c r="O17" s="2" t="s">
        <v>123</v>
      </c>
      <c r="P17" s="2" t="s">
        <v>170</v>
      </c>
      <c r="Q17" s="2" t="str">
        <f t="shared" si="1"/>
        <v>diagnose firewall iprope lookup 44.168.32.145 135 10.201.0.201 135 tcp E2-EH-AGN</v>
      </c>
    </row>
    <row r="18" spans="1:17" x14ac:dyDescent="0.3">
      <c r="A18" t="s">
        <v>12</v>
      </c>
      <c r="B18" t="s">
        <v>13</v>
      </c>
      <c r="C18" t="s">
        <v>44</v>
      </c>
      <c r="D18" t="s">
        <v>45</v>
      </c>
      <c r="E18" t="s">
        <v>135</v>
      </c>
      <c r="I18" t="s">
        <v>16</v>
      </c>
      <c r="J18">
        <v>49152</v>
      </c>
      <c r="K18">
        <v>65535</v>
      </c>
      <c r="M18" s="2" t="s">
        <v>122</v>
      </c>
      <c r="N18" s="2" t="str">
        <f t="shared" si="0"/>
        <v>get router info routing-table details 44.168.32.145 | grep -f *</v>
      </c>
      <c r="O18" s="2" t="s">
        <v>123</v>
      </c>
      <c r="P18" s="2" t="s">
        <v>170</v>
      </c>
      <c r="Q18" s="2" t="str">
        <f t="shared" si="1"/>
        <v>diagnose firewall iprope lookup 44.168.32.145 49152 10.201.0.201 65535 tcp E2-EH-AGN</v>
      </c>
    </row>
    <row r="19" spans="1:17" x14ac:dyDescent="0.3">
      <c r="A19" t="s">
        <v>12</v>
      </c>
      <c r="B19" t="s">
        <v>13</v>
      </c>
      <c r="C19" t="s">
        <v>46</v>
      </c>
      <c r="D19" t="s">
        <v>47</v>
      </c>
      <c r="E19" t="s">
        <v>136</v>
      </c>
      <c r="I19" t="s">
        <v>16</v>
      </c>
      <c r="J19">
        <v>101</v>
      </c>
      <c r="K19">
        <v>101</v>
      </c>
      <c r="M19" s="2" t="s">
        <v>122</v>
      </c>
      <c r="N19" s="2" t="str">
        <f t="shared" si="0"/>
        <v>get router info routing-table details 10.201.32.11 | grep -f *</v>
      </c>
      <c r="O19" s="2" t="s">
        <v>123</v>
      </c>
      <c r="P19" s="2" t="s">
        <v>169</v>
      </c>
      <c r="Q19" s="2" t="str">
        <f t="shared" si="1"/>
        <v>diagnose firewall iprope lookup 10.201.32.11 101 10.201.0.201 101 tcp E2-EH-PART</v>
      </c>
    </row>
    <row r="20" spans="1:17" x14ac:dyDescent="0.3">
      <c r="A20" t="s">
        <v>12</v>
      </c>
      <c r="B20" t="s">
        <v>13</v>
      </c>
      <c r="C20" t="s">
        <v>48</v>
      </c>
      <c r="D20" t="s">
        <v>49</v>
      </c>
      <c r="E20" t="s">
        <v>137</v>
      </c>
      <c r="I20" t="s">
        <v>16</v>
      </c>
      <c r="J20">
        <v>101</v>
      </c>
      <c r="K20">
        <v>101</v>
      </c>
      <c r="M20" s="2" t="s">
        <v>122</v>
      </c>
      <c r="N20" s="2" t="str">
        <f t="shared" si="0"/>
        <v>get router info routing-table details 10.202.165.20 | grep -f *</v>
      </c>
      <c r="O20" s="2" t="s">
        <v>123</v>
      </c>
      <c r="P20" s="2" t="s">
        <v>170</v>
      </c>
      <c r="Q20" s="2" t="str">
        <f t="shared" si="1"/>
        <v>diagnose firewall iprope lookup 10.202.165.20 101 10.201.0.201 101 tcp E2-EH-AGN</v>
      </c>
    </row>
    <row r="21" spans="1:17" x14ac:dyDescent="0.3">
      <c r="A21" t="s">
        <v>12</v>
      </c>
      <c r="B21" t="s">
        <v>13</v>
      </c>
      <c r="C21" t="s">
        <v>50</v>
      </c>
      <c r="D21" t="s">
        <v>51</v>
      </c>
      <c r="E21" t="s">
        <v>138</v>
      </c>
      <c r="I21" t="s">
        <v>16</v>
      </c>
      <c r="J21">
        <v>101</v>
      </c>
      <c r="K21">
        <v>101</v>
      </c>
      <c r="M21" s="2" t="s">
        <v>122</v>
      </c>
      <c r="N21" s="2" t="str">
        <f t="shared" si="0"/>
        <v>get router info routing-table details 10.202.166.37 | grep -f *</v>
      </c>
      <c r="O21" s="2" t="s">
        <v>123</v>
      </c>
      <c r="P21" s="2" t="s">
        <v>170</v>
      </c>
      <c r="Q21" s="2" t="str">
        <f t="shared" si="1"/>
        <v>diagnose firewall iprope lookup 10.202.166.37 101 10.201.0.201 101 tcp E2-EH-AGN</v>
      </c>
    </row>
    <row r="22" spans="1:17" x14ac:dyDescent="0.3">
      <c r="A22" t="s">
        <v>12</v>
      </c>
      <c r="B22" t="s">
        <v>13</v>
      </c>
      <c r="C22" t="s">
        <v>52</v>
      </c>
      <c r="D22" t="s">
        <v>53</v>
      </c>
      <c r="E22" t="s">
        <v>139</v>
      </c>
      <c r="I22" t="s">
        <v>16</v>
      </c>
      <c r="J22">
        <v>101</v>
      </c>
      <c r="K22">
        <v>101</v>
      </c>
      <c r="M22" s="2" t="s">
        <v>122</v>
      </c>
      <c r="N22" s="2" t="str">
        <f t="shared" si="0"/>
        <v>get router info routing-table details 10.202.157.89 | grep -f *</v>
      </c>
      <c r="O22" s="2" t="s">
        <v>123</v>
      </c>
      <c r="P22" s="2" t="s">
        <v>170</v>
      </c>
      <c r="Q22" s="2" t="str">
        <f t="shared" si="1"/>
        <v>diagnose firewall iprope lookup 10.202.157.89 101 10.201.0.201 101 tcp E2-EH-AGN</v>
      </c>
    </row>
    <row r="23" spans="1:17" x14ac:dyDescent="0.3">
      <c r="A23" t="s">
        <v>12</v>
      </c>
      <c r="B23" t="s">
        <v>13</v>
      </c>
      <c r="C23" t="s">
        <v>54</v>
      </c>
      <c r="D23" t="s">
        <v>55</v>
      </c>
      <c r="E23" t="s">
        <v>140</v>
      </c>
      <c r="I23" t="s">
        <v>16</v>
      </c>
      <c r="J23">
        <v>101</v>
      </c>
      <c r="K23">
        <v>101</v>
      </c>
      <c r="M23" s="2" t="s">
        <v>122</v>
      </c>
      <c r="N23" s="2" t="str">
        <f t="shared" si="0"/>
        <v>get router info routing-table details 10.202.157.190 | grep -f *</v>
      </c>
      <c r="O23" s="2" t="s">
        <v>123</v>
      </c>
      <c r="P23" s="2" t="s">
        <v>170</v>
      </c>
      <c r="Q23" s="2" t="str">
        <f t="shared" si="1"/>
        <v>diagnose firewall iprope lookup 10.202.157.190 101 10.201.0.201 101 tcp E2-EH-AGN</v>
      </c>
    </row>
    <row r="24" spans="1:17" x14ac:dyDescent="0.3">
      <c r="A24" t="s">
        <v>12</v>
      </c>
      <c r="B24" t="s">
        <v>13</v>
      </c>
      <c r="C24" t="s">
        <v>56</v>
      </c>
      <c r="D24" t="s">
        <v>57</v>
      </c>
      <c r="E24" t="s">
        <v>141</v>
      </c>
      <c r="I24" t="s">
        <v>16</v>
      </c>
      <c r="J24">
        <v>101</v>
      </c>
      <c r="K24">
        <v>101</v>
      </c>
      <c r="M24" s="2" t="s">
        <v>122</v>
      </c>
      <c r="N24" s="2" t="str">
        <f t="shared" si="0"/>
        <v>get router info routing-table details 10.201.32.205 | grep -f *</v>
      </c>
      <c r="O24" s="2" t="s">
        <v>123</v>
      </c>
      <c r="P24" s="2" t="s">
        <v>169</v>
      </c>
      <c r="Q24" s="2" t="str">
        <f t="shared" si="1"/>
        <v>diagnose firewall iprope lookup 10.201.32.205 101 10.201.0.201 101 tcp E2-EH-PART</v>
      </c>
    </row>
    <row r="25" spans="1:17" x14ac:dyDescent="0.3">
      <c r="A25" t="s">
        <v>12</v>
      </c>
      <c r="B25" t="s">
        <v>13</v>
      </c>
      <c r="C25" t="s">
        <v>58</v>
      </c>
      <c r="D25" t="s">
        <v>59</v>
      </c>
      <c r="E25" t="s">
        <v>142</v>
      </c>
      <c r="I25" t="s">
        <v>16</v>
      </c>
      <c r="J25">
        <v>101</v>
      </c>
      <c r="K25">
        <v>101</v>
      </c>
      <c r="M25" s="2" t="s">
        <v>122</v>
      </c>
      <c r="N25" s="2" t="str">
        <f t="shared" si="0"/>
        <v>get router info routing-table details 10.201.49.102 | grep -f *</v>
      </c>
      <c r="O25" s="2" t="s">
        <v>123</v>
      </c>
      <c r="P25" s="2" t="s">
        <v>173</v>
      </c>
      <c r="Q25" s="2" t="str">
        <f t="shared" si="1"/>
        <v>diagnose firewall iprope lookup 10.201.49.102 101 10.201.0.201 101 tcp E2-EH-VDI-EXT</v>
      </c>
    </row>
    <row r="26" spans="1:17" x14ac:dyDescent="0.3">
      <c r="A26" t="s">
        <v>12</v>
      </c>
      <c r="B26" t="s">
        <v>13</v>
      </c>
      <c r="C26" t="s">
        <v>60</v>
      </c>
      <c r="D26" t="s">
        <v>61</v>
      </c>
      <c r="E26" t="s">
        <v>143</v>
      </c>
      <c r="I26" t="s">
        <v>16</v>
      </c>
      <c r="J26">
        <v>445</v>
      </c>
      <c r="K26">
        <v>445</v>
      </c>
      <c r="M26" s="2" t="s">
        <v>122</v>
      </c>
      <c r="N26" s="2" t="str">
        <f t="shared" si="0"/>
        <v>get router info routing-table details 10.196.66.117 | grep -f *</v>
      </c>
      <c r="O26" s="2" t="s">
        <v>123</v>
      </c>
      <c r="P26" s="2" t="s">
        <v>174</v>
      </c>
      <c r="Q26" s="2" t="str">
        <f t="shared" si="1"/>
        <v>diagnose firewall iprope lookup 10.196.66.117 445 10.201.0.201 445 tcp E2-EH-VPN</v>
      </c>
    </row>
    <row r="27" spans="1:17" x14ac:dyDescent="0.3">
      <c r="A27" t="s">
        <v>12</v>
      </c>
      <c r="B27" t="s">
        <v>13</v>
      </c>
      <c r="C27" t="s">
        <v>62</v>
      </c>
      <c r="D27" t="s">
        <v>63</v>
      </c>
      <c r="E27" t="s">
        <v>144</v>
      </c>
      <c r="I27" t="s">
        <v>16</v>
      </c>
      <c r="J27">
        <v>3389</v>
      </c>
      <c r="K27">
        <v>3389</v>
      </c>
      <c r="M27" s="2" t="s">
        <v>122</v>
      </c>
      <c r="N27" s="2" t="str">
        <f t="shared" si="0"/>
        <v>get router info routing-table details 10.222.71.171 | grep -f *</v>
      </c>
      <c r="O27" s="2" t="s">
        <v>123</v>
      </c>
      <c r="P27" s="2" t="s">
        <v>171</v>
      </c>
      <c r="Q27" s="2" t="str">
        <f t="shared" si="1"/>
        <v>diagnose firewall iprope lookup 10.222.71.171 3389 10.201.0.201 3389 tcp EH-VDI</v>
      </c>
    </row>
    <row r="28" spans="1:17" x14ac:dyDescent="0.3">
      <c r="A28" t="s">
        <v>12</v>
      </c>
      <c r="B28" t="s">
        <v>13</v>
      </c>
      <c r="C28" t="s">
        <v>64</v>
      </c>
      <c r="D28" t="s">
        <v>65</v>
      </c>
      <c r="E28" t="s">
        <v>145</v>
      </c>
      <c r="I28" t="s">
        <v>16</v>
      </c>
      <c r="J28">
        <v>101</v>
      </c>
      <c r="K28">
        <v>101</v>
      </c>
      <c r="M28" s="2" t="s">
        <v>122</v>
      </c>
      <c r="N28" s="2" t="str">
        <f t="shared" si="0"/>
        <v>get router info routing-table details 10.222.75.54 | grep -f *</v>
      </c>
      <c r="O28" s="2" t="s">
        <v>123</v>
      </c>
      <c r="P28" s="2" t="s">
        <v>171</v>
      </c>
      <c r="Q28" s="2" t="str">
        <f t="shared" si="1"/>
        <v>diagnose firewall iprope lookup 10.222.75.54 101 10.201.0.201 101 tcp EH-VDI</v>
      </c>
    </row>
    <row r="29" spans="1:17" x14ac:dyDescent="0.3">
      <c r="A29" t="s">
        <v>12</v>
      </c>
      <c r="B29" t="s">
        <v>13</v>
      </c>
      <c r="C29" t="s">
        <v>66</v>
      </c>
      <c r="D29" t="s">
        <v>67</v>
      </c>
      <c r="E29" t="s">
        <v>146</v>
      </c>
      <c r="I29" t="s">
        <v>16</v>
      </c>
      <c r="J29">
        <v>101</v>
      </c>
      <c r="K29">
        <v>101</v>
      </c>
      <c r="M29" s="2" t="s">
        <v>122</v>
      </c>
      <c r="N29" s="2" t="str">
        <f t="shared" si="0"/>
        <v>get router info routing-table details 10.202.167.93 | grep -f *</v>
      </c>
      <c r="O29" s="2" t="s">
        <v>123</v>
      </c>
      <c r="P29" s="2" t="s">
        <v>170</v>
      </c>
      <c r="Q29" s="2" t="str">
        <f t="shared" si="1"/>
        <v>diagnose firewall iprope lookup 10.202.167.93 101 10.201.0.201 101 tcp E2-EH-AGN</v>
      </c>
    </row>
    <row r="30" spans="1:17" x14ac:dyDescent="0.3">
      <c r="A30" t="s">
        <v>12</v>
      </c>
      <c r="B30" t="s">
        <v>13</v>
      </c>
      <c r="C30" t="s">
        <v>68</v>
      </c>
      <c r="D30" t="s">
        <v>69</v>
      </c>
      <c r="E30" t="s">
        <v>147</v>
      </c>
      <c r="I30" t="s">
        <v>16</v>
      </c>
      <c r="J30">
        <v>101</v>
      </c>
      <c r="K30">
        <v>101</v>
      </c>
      <c r="M30" s="2" t="s">
        <v>122</v>
      </c>
      <c r="N30" s="2" t="str">
        <f t="shared" si="0"/>
        <v>get router info routing-table details 10.202.157.132 | grep -f *</v>
      </c>
      <c r="O30" s="2" t="s">
        <v>123</v>
      </c>
      <c r="P30" s="2" t="s">
        <v>170</v>
      </c>
      <c r="Q30" s="2" t="str">
        <f t="shared" si="1"/>
        <v>diagnose firewall iprope lookup 10.202.157.132 101 10.201.0.201 101 tcp E2-EH-AGN</v>
      </c>
    </row>
    <row r="31" spans="1:17" x14ac:dyDescent="0.3">
      <c r="A31" t="s">
        <v>12</v>
      </c>
      <c r="B31" t="s">
        <v>13</v>
      </c>
      <c r="C31" t="s">
        <v>70</v>
      </c>
      <c r="D31" t="s">
        <v>71</v>
      </c>
      <c r="E31" t="s">
        <v>148</v>
      </c>
      <c r="I31" t="s">
        <v>16</v>
      </c>
      <c r="J31">
        <v>101</v>
      </c>
      <c r="K31">
        <v>101</v>
      </c>
      <c r="M31" s="2" t="s">
        <v>122</v>
      </c>
      <c r="N31" s="2" t="str">
        <f t="shared" si="0"/>
        <v>get router info routing-table details 10.222.129.172 | grep -f *</v>
      </c>
      <c r="O31" s="2" t="s">
        <v>123</v>
      </c>
      <c r="P31" s="2" t="s">
        <v>170</v>
      </c>
      <c r="Q31" s="2" t="str">
        <f t="shared" si="1"/>
        <v>diagnose firewall iprope lookup 10.222.129.172 101 10.201.0.201 101 tcp E2-EH-AGN</v>
      </c>
    </row>
    <row r="32" spans="1:17" x14ac:dyDescent="0.3">
      <c r="A32" t="s">
        <v>12</v>
      </c>
      <c r="B32" t="s">
        <v>13</v>
      </c>
      <c r="C32" t="s">
        <v>72</v>
      </c>
      <c r="D32" t="s">
        <v>73</v>
      </c>
      <c r="E32" t="s">
        <v>149</v>
      </c>
      <c r="I32" t="s">
        <v>16</v>
      </c>
      <c r="J32">
        <v>101</v>
      </c>
      <c r="K32">
        <v>101</v>
      </c>
      <c r="M32" s="2" t="s">
        <v>122</v>
      </c>
      <c r="N32" s="2" t="str">
        <f t="shared" si="0"/>
        <v>get router info routing-table details 44.119.0.120 | grep -f *</v>
      </c>
      <c r="O32" s="2" t="s">
        <v>123</v>
      </c>
      <c r="P32" s="2" t="s">
        <v>170</v>
      </c>
      <c r="Q32" s="2" t="str">
        <f t="shared" si="1"/>
        <v>diagnose firewall iprope lookup 44.119.0.120 101 10.201.0.201 101 tcp E2-EH-AGN</v>
      </c>
    </row>
    <row r="33" spans="1:17" x14ac:dyDescent="0.3">
      <c r="A33" t="s">
        <v>12</v>
      </c>
      <c r="B33" t="s">
        <v>13</v>
      </c>
      <c r="C33" t="s">
        <v>74</v>
      </c>
      <c r="D33" t="s">
        <v>73</v>
      </c>
      <c r="E33" t="s">
        <v>149</v>
      </c>
      <c r="I33" t="s">
        <v>16</v>
      </c>
      <c r="J33">
        <v>3389</v>
      </c>
      <c r="K33">
        <v>3389</v>
      </c>
      <c r="M33" s="2" t="s">
        <v>122</v>
      </c>
      <c r="N33" s="2" t="str">
        <f t="shared" si="0"/>
        <v>get router info routing-table details 44.119.0.120 | grep -f *</v>
      </c>
      <c r="O33" s="2" t="s">
        <v>123</v>
      </c>
      <c r="P33" s="2" t="s">
        <v>170</v>
      </c>
      <c r="Q33" s="2" t="str">
        <f t="shared" si="1"/>
        <v>diagnose firewall iprope lookup 44.119.0.120 3389 10.201.0.201 3389 tcp E2-EH-AGN</v>
      </c>
    </row>
    <row r="34" spans="1:17" x14ac:dyDescent="0.3">
      <c r="A34" t="s">
        <v>12</v>
      </c>
      <c r="B34" t="s">
        <v>13</v>
      </c>
      <c r="C34" t="s">
        <v>75</v>
      </c>
      <c r="D34" t="s">
        <v>76</v>
      </c>
      <c r="E34" t="s">
        <v>150</v>
      </c>
      <c r="I34" t="s">
        <v>16</v>
      </c>
      <c r="J34">
        <v>101</v>
      </c>
      <c r="K34">
        <v>101</v>
      </c>
      <c r="M34" s="2" t="s">
        <v>122</v>
      </c>
      <c r="N34" s="2" t="str">
        <f t="shared" si="0"/>
        <v>get router info routing-table details 10.202.157.234 | grep -f *</v>
      </c>
      <c r="O34" s="2" t="s">
        <v>123</v>
      </c>
      <c r="P34" s="2" t="s">
        <v>170</v>
      </c>
      <c r="Q34" s="2" t="str">
        <f t="shared" si="1"/>
        <v>diagnose firewall iprope lookup 10.202.157.234 101 10.201.0.201 101 tcp E2-EH-AGN</v>
      </c>
    </row>
    <row r="35" spans="1:17" x14ac:dyDescent="0.3">
      <c r="A35" t="s">
        <v>12</v>
      </c>
      <c r="B35" t="s">
        <v>13</v>
      </c>
      <c r="C35" t="s">
        <v>77</v>
      </c>
      <c r="D35" t="s">
        <v>78</v>
      </c>
      <c r="E35" t="s">
        <v>151</v>
      </c>
      <c r="I35" t="s">
        <v>16</v>
      </c>
      <c r="J35">
        <v>3389</v>
      </c>
      <c r="K35">
        <v>3389</v>
      </c>
      <c r="M35" s="2" t="s">
        <v>122</v>
      </c>
      <c r="N35" s="2" t="str">
        <f t="shared" si="0"/>
        <v>get router info routing-table details 10.222.67.86 | grep -f *</v>
      </c>
      <c r="O35" s="2" t="s">
        <v>123</v>
      </c>
      <c r="P35" s="2" t="s">
        <v>171</v>
      </c>
      <c r="Q35" s="2" t="str">
        <f t="shared" si="1"/>
        <v>diagnose firewall iprope lookup 10.222.67.86 3389 10.201.0.201 3389 tcp EH-VDI</v>
      </c>
    </row>
    <row r="36" spans="1:17" x14ac:dyDescent="0.3">
      <c r="A36" t="s">
        <v>12</v>
      </c>
      <c r="B36" t="s">
        <v>13</v>
      </c>
      <c r="C36" t="s">
        <v>79</v>
      </c>
      <c r="D36" t="s">
        <v>80</v>
      </c>
      <c r="E36" t="s">
        <v>152</v>
      </c>
      <c r="I36" t="s">
        <v>16</v>
      </c>
      <c r="J36">
        <v>101</v>
      </c>
      <c r="K36">
        <v>101</v>
      </c>
      <c r="M36" s="2" t="s">
        <v>122</v>
      </c>
      <c r="N36" s="2" t="str">
        <f t="shared" si="0"/>
        <v>get router info routing-table details 10.202.157.238 | grep -f *</v>
      </c>
      <c r="O36" s="2" t="s">
        <v>123</v>
      </c>
      <c r="P36" s="2" t="s">
        <v>170</v>
      </c>
      <c r="Q36" s="2" t="str">
        <f t="shared" si="1"/>
        <v>diagnose firewall iprope lookup 10.202.157.238 101 10.201.0.201 101 tcp E2-EH-AGN</v>
      </c>
    </row>
    <row r="37" spans="1:17" x14ac:dyDescent="0.3">
      <c r="A37" t="s">
        <v>12</v>
      </c>
      <c r="B37" t="s">
        <v>13</v>
      </c>
      <c r="C37" t="s">
        <v>81</v>
      </c>
      <c r="D37" t="s">
        <v>82</v>
      </c>
      <c r="E37" t="s">
        <v>153</v>
      </c>
      <c r="I37" t="s">
        <v>16</v>
      </c>
      <c r="J37">
        <v>101</v>
      </c>
      <c r="K37">
        <v>101</v>
      </c>
      <c r="M37" s="2" t="s">
        <v>122</v>
      </c>
      <c r="N37" s="2" t="str">
        <f t="shared" si="0"/>
        <v>get router info routing-table details 10.202.157.69 | grep -f *</v>
      </c>
      <c r="O37" s="2" t="s">
        <v>123</v>
      </c>
      <c r="P37" s="2" t="s">
        <v>170</v>
      </c>
      <c r="Q37" s="2" t="str">
        <f t="shared" si="1"/>
        <v>diagnose firewall iprope lookup 10.202.157.69 101 10.201.0.201 101 tcp E2-EH-AGN</v>
      </c>
    </row>
    <row r="38" spans="1:17" x14ac:dyDescent="0.3">
      <c r="A38" t="s">
        <v>12</v>
      </c>
      <c r="B38" t="s">
        <v>13</v>
      </c>
      <c r="C38" t="s">
        <v>83</v>
      </c>
      <c r="D38" t="s">
        <v>84</v>
      </c>
      <c r="E38" t="s">
        <v>154</v>
      </c>
      <c r="I38" t="s">
        <v>16</v>
      </c>
      <c r="J38">
        <v>3389</v>
      </c>
      <c r="K38">
        <v>3389</v>
      </c>
      <c r="M38" s="2" t="s">
        <v>122</v>
      </c>
      <c r="N38" s="2" t="str">
        <f t="shared" si="0"/>
        <v>get router info routing-table details 10.222.68.85 | grep -f *</v>
      </c>
      <c r="O38" s="2" t="s">
        <v>123</v>
      </c>
      <c r="P38" s="2" t="s">
        <v>171</v>
      </c>
      <c r="Q38" s="2" t="str">
        <f t="shared" si="1"/>
        <v>diagnose firewall iprope lookup 10.222.68.85 3389 10.201.0.201 3389 tcp EH-VDI</v>
      </c>
    </row>
    <row r="39" spans="1:17" x14ac:dyDescent="0.3">
      <c r="A39" t="s">
        <v>12</v>
      </c>
      <c r="B39" t="s">
        <v>13</v>
      </c>
      <c r="C39" t="s">
        <v>85</v>
      </c>
      <c r="D39" t="s">
        <v>86</v>
      </c>
      <c r="E39" t="s">
        <v>155</v>
      </c>
      <c r="I39" t="s">
        <v>16</v>
      </c>
      <c r="J39">
        <v>101</v>
      </c>
      <c r="K39">
        <v>101</v>
      </c>
      <c r="M39" s="2" t="s">
        <v>122</v>
      </c>
      <c r="N39" s="2" t="str">
        <f t="shared" si="0"/>
        <v>get router info routing-table details 10.202.157.235 | grep -f *</v>
      </c>
      <c r="O39" s="2" t="s">
        <v>123</v>
      </c>
      <c r="P39" s="2" t="s">
        <v>170</v>
      </c>
      <c r="Q39" s="2" t="str">
        <f t="shared" si="1"/>
        <v>diagnose firewall iprope lookup 10.202.157.235 101 10.201.0.201 101 tcp E2-EH-AGN</v>
      </c>
    </row>
    <row r="40" spans="1:17" x14ac:dyDescent="0.3">
      <c r="A40" t="s">
        <v>12</v>
      </c>
      <c r="B40" t="s">
        <v>13</v>
      </c>
      <c r="C40" t="s">
        <v>87</v>
      </c>
      <c r="D40" t="s">
        <v>88</v>
      </c>
      <c r="E40" t="s">
        <v>156</v>
      </c>
      <c r="I40" t="s">
        <v>16</v>
      </c>
      <c r="J40">
        <v>3389</v>
      </c>
      <c r="K40">
        <v>3389</v>
      </c>
      <c r="M40" s="2" t="s">
        <v>122</v>
      </c>
      <c r="N40" s="2" t="str">
        <f t="shared" si="0"/>
        <v>get router info routing-table details 10.222.75.225 | grep -f *</v>
      </c>
      <c r="O40" s="2" t="s">
        <v>123</v>
      </c>
      <c r="P40" s="2" t="s">
        <v>171</v>
      </c>
      <c r="Q40" s="2" t="str">
        <f t="shared" si="1"/>
        <v>diagnose firewall iprope lookup 10.222.75.225 3389 10.201.0.201 3389 tcp EH-VDI</v>
      </c>
    </row>
    <row r="41" spans="1:17" x14ac:dyDescent="0.3">
      <c r="A41" t="s">
        <v>12</v>
      </c>
      <c r="B41" t="s">
        <v>13</v>
      </c>
      <c r="C41" t="s">
        <v>89</v>
      </c>
      <c r="D41" t="s">
        <v>90</v>
      </c>
      <c r="E41" t="s">
        <v>157</v>
      </c>
      <c r="I41" t="s">
        <v>16</v>
      </c>
      <c r="J41">
        <v>5985</v>
      </c>
      <c r="K41">
        <v>5985</v>
      </c>
      <c r="M41" s="2" t="s">
        <v>122</v>
      </c>
      <c r="N41" s="2" t="str">
        <f t="shared" si="0"/>
        <v>get router info routing-table details 44.119.8.159 | grep -f *</v>
      </c>
      <c r="O41" s="2" t="s">
        <v>123</v>
      </c>
      <c r="P41" s="2" t="s">
        <v>170</v>
      </c>
      <c r="Q41" s="2" t="str">
        <f t="shared" si="1"/>
        <v>diagnose firewall iprope lookup 44.119.8.159 5985 10.201.0.201 5985 tcp E2-EH-AGN</v>
      </c>
    </row>
    <row r="42" spans="1:17" x14ac:dyDescent="0.3">
      <c r="A42" t="s">
        <v>12</v>
      </c>
      <c r="B42" t="s">
        <v>13</v>
      </c>
      <c r="C42" t="s">
        <v>91</v>
      </c>
      <c r="D42" t="s">
        <v>90</v>
      </c>
      <c r="E42" t="s">
        <v>157</v>
      </c>
      <c r="I42" t="s">
        <v>16</v>
      </c>
      <c r="J42">
        <v>445</v>
      </c>
      <c r="K42">
        <v>445</v>
      </c>
      <c r="M42" s="2" t="s">
        <v>122</v>
      </c>
      <c r="N42" s="2" t="str">
        <f t="shared" si="0"/>
        <v>get router info routing-table details 44.119.8.159 | grep -f *</v>
      </c>
      <c r="O42" s="2" t="s">
        <v>123</v>
      </c>
      <c r="P42" s="2" t="s">
        <v>170</v>
      </c>
      <c r="Q42" s="2" t="str">
        <f t="shared" si="1"/>
        <v>diagnose firewall iprope lookup 44.119.8.159 445 10.201.0.201 445 tcp E2-EH-AGN</v>
      </c>
    </row>
    <row r="43" spans="1:17" x14ac:dyDescent="0.3">
      <c r="A43" t="s">
        <v>12</v>
      </c>
      <c r="B43" t="s">
        <v>13</v>
      </c>
      <c r="C43" t="s">
        <v>92</v>
      </c>
      <c r="D43" t="s">
        <v>90</v>
      </c>
      <c r="E43" t="s">
        <v>157</v>
      </c>
      <c r="I43" t="s">
        <v>16</v>
      </c>
      <c r="J43">
        <v>135</v>
      </c>
      <c r="K43">
        <v>135</v>
      </c>
      <c r="M43" s="2" t="s">
        <v>122</v>
      </c>
      <c r="N43" s="2" t="str">
        <f t="shared" si="0"/>
        <v>get router info routing-table details 44.119.8.159 | grep -f *</v>
      </c>
      <c r="O43" s="2" t="s">
        <v>123</v>
      </c>
      <c r="P43" s="2" t="s">
        <v>170</v>
      </c>
      <c r="Q43" s="2" t="str">
        <f t="shared" si="1"/>
        <v>diagnose firewall iprope lookup 44.119.8.159 135 10.201.0.201 135 tcp E2-EH-AGN</v>
      </c>
    </row>
    <row r="44" spans="1:17" x14ac:dyDescent="0.3">
      <c r="A44" t="s">
        <v>12</v>
      </c>
      <c r="B44" t="s">
        <v>13</v>
      </c>
      <c r="C44" t="s">
        <v>93</v>
      </c>
      <c r="D44" t="s">
        <v>94</v>
      </c>
      <c r="E44" t="s">
        <v>157</v>
      </c>
      <c r="I44" t="s">
        <v>16</v>
      </c>
      <c r="J44">
        <v>49152</v>
      </c>
      <c r="K44">
        <v>65535</v>
      </c>
      <c r="M44" s="2" t="s">
        <v>122</v>
      </c>
      <c r="N44" s="2" t="str">
        <f t="shared" si="0"/>
        <v>get router info routing-table details 44.119.8.159 | grep -f *</v>
      </c>
      <c r="O44" s="2" t="s">
        <v>123</v>
      </c>
      <c r="P44" s="2" t="s">
        <v>170</v>
      </c>
      <c r="Q44" s="2" t="str">
        <f t="shared" si="1"/>
        <v>diagnose firewall iprope lookup 44.119.8.159 49152 10.201.0.201 65535 tcp E2-EH-AGN</v>
      </c>
    </row>
    <row r="45" spans="1:17" x14ac:dyDescent="0.3">
      <c r="A45" t="s">
        <v>12</v>
      </c>
      <c r="B45" t="s">
        <v>13</v>
      </c>
      <c r="C45" t="s">
        <v>95</v>
      </c>
      <c r="D45" t="s">
        <v>96</v>
      </c>
      <c r="E45" t="s">
        <v>158</v>
      </c>
      <c r="I45" t="s">
        <v>16</v>
      </c>
      <c r="J45">
        <v>101</v>
      </c>
      <c r="K45">
        <v>101</v>
      </c>
      <c r="M45" s="2" t="s">
        <v>122</v>
      </c>
      <c r="N45" s="2" t="str">
        <f t="shared" si="0"/>
        <v>get router info routing-table details 10.202.157.58 | grep -f *</v>
      </c>
      <c r="O45" s="2" t="s">
        <v>123</v>
      </c>
      <c r="P45" s="2" t="s">
        <v>170</v>
      </c>
      <c r="Q45" s="2" t="str">
        <f t="shared" si="1"/>
        <v>diagnose firewall iprope lookup 10.202.157.58 101 10.201.0.201 101 tcp E2-EH-AGN</v>
      </c>
    </row>
    <row r="46" spans="1:17" x14ac:dyDescent="0.3">
      <c r="A46" t="s">
        <v>12</v>
      </c>
      <c r="B46" t="s">
        <v>13</v>
      </c>
      <c r="C46" t="s">
        <v>97</v>
      </c>
      <c r="D46" t="s">
        <v>98</v>
      </c>
      <c r="E46" t="s">
        <v>159</v>
      </c>
      <c r="I46" t="s">
        <v>16</v>
      </c>
      <c r="J46">
        <v>101</v>
      </c>
      <c r="K46">
        <v>101</v>
      </c>
      <c r="M46" s="2" t="s">
        <v>122</v>
      </c>
      <c r="N46" s="2" t="str">
        <f t="shared" si="0"/>
        <v>get router info routing-table details 44.119.0.121 | grep -f *</v>
      </c>
      <c r="O46" s="2" t="s">
        <v>123</v>
      </c>
      <c r="P46" s="2" t="s">
        <v>170</v>
      </c>
      <c r="Q46" s="2" t="str">
        <f t="shared" si="1"/>
        <v>diagnose firewall iprope lookup 44.119.0.121 101 10.201.0.201 101 tcp E2-EH-AGN</v>
      </c>
    </row>
    <row r="47" spans="1:17" x14ac:dyDescent="0.3">
      <c r="A47" t="s">
        <v>12</v>
      </c>
      <c r="B47" t="s">
        <v>13</v>
      </c>
      <c r="C47" t="s">
        <v>99</v>
      </c>
      <c r="D47" t="s">
        <v>100</v>
      </c>
      <c r="E47" t="s">
        <v>160</v>
      </c>
      <c r="I47" t="s">
        <v>16</v>
      </c>
      <c r="J47">
        <v>101</v>
      </c>
      <c r="K47">
        <v>101</v>
      </c>
      <c r="M47" s="2" t="s">
        <v>122</v>
      </c>
      <c r="N47" s="2" t="str">
        <f t="shared" si="0"/>
        <v>get router info routing-table details 10.202.156.252 | grep -f *</v>
      </c>
      <c r="O47" s="2" t="s">
        <v>123</v>
      </c>
      <c r="P47" s="2" t="s">
        <v>170</v>
      </c>
      <c r="Q47" s="2" t="str">
        <f t="shared" si="1"/>
        <v>diagnose firewall iprope lookup 10.202.156.252 101 10.201.0.201 101 tcp E2-EH-AGN</v>
      </c>
    </row>
    <row r="48" spans="1:17" x14ac:dyDescent="0.3">
      <c r="A48" t="s">
        <v>12</v>
      </c>
      <c r="B48" t="s">
        <v>13</v>
      </c>
      <c r="C48" t="s">
        <v>101</v>
      </c>
      <c r="D48" t="s">
        <v>102</v>
      </c>
      <c r="E48" t="s">
        <v>161</v>
      </c>
      <c r="I48" t="s">
        <v>16</v>
      </c>
      <c r="J48">
        <v>101</v>
      </c>
      <c r="K48">
        <v>101</v>
      </c>
      <c r="M48" s="2" t="s">
        <v>122</v>
      </c>
      <c r="N48" s="2" t="str">
        <f t="shared" si="0"/>
        <v>get router info routing-table details 10.222.133.6 | grep -f *</v>
      </c>
      <c r="O48" s="2" t="s">
        <v>123</v>
      </c>
      <c r="P48" s="2" t="s">
        <v>170</v>
      </c>
      <c r="Q48" s="2" t="str">
        <f t="shared" si="1"/>
        <v>diagnose firewall iprope lookup 10.222.133.6 101 10.201.0.201 101 tcp E2-EH-AGN</v>
      </c>
    </row>
    <row r="49" spans="1:17" x14ac:dyDescent="0.3">
      <c r="A49" t="s">
        <v>12</v>
      </c>
      <c r="B49" t="s">
        <v>13</v>
      </c>
      <c r="C49" t="s">
        <v>103</v>
      </c>
      <c r="D49" t="s">
        <v>104</v>
      </c>
      <c r="E49" t="s">
        <v>162</v>
      </c>
      <c r="I49" t="s">
        <v>16</v>
      </c>
      <c r="J49">
        <v>135</v>
      </c>
      <c r="K49">
        <v>135</v>
      </c>
      <c r="M49" s="2" t="s">
        <v>122</v>
      </c>
      <c r="N49" s="2" t="str">
        <f t="shared" si="0"/>
        <v>get router info routing-table details 44.119.8.158 | grep -f *</v>
      </c>
      <c r="O49" s="2" t="s">
        <v>123</v>
      </c>
      <c r="P49" s="2" t="s">
        <v>170</v>
      </c>
      <c r="Q49" s="2" t="str">
        <f t="shared" si="1"/>
        <v>diagnose firewall iprope lookup 44.119.8.158 135 10.201.0.201 135 tcp E2-EH-AGN</v>
      </c>
    </row>
    <row r="50" spans="1:17" x14ac:dyDescent="0.3">
      <c r="A50" t="s">
        <v>12</v>
      </c>
      <c r="B50" t="s">
        <v>13</v>
      </c>
      <c r="C50" t="s">
        <v>105</v>
      </c>
      <c r="D50" t="s">
        <v>104</v>
      </c>
      <c r="E50" t="s">
        <v>162</v>
      </c>
      <c r="I50" t="s">
        <v>16</v>
      </c>
      <c r="J50">
        <v>445</v>
      </c>
      <c r="K50">
        <v>445</v>
      </c>
      <c r="M50" s="2" t="s">
        <v>122</v>
      </c>
      <c r="N50" s="2" t="str">
        <f t="shared" si="0"/>
        <v>get router info routing-table details 44.119.8.158 | grep -f *</v>
      </c>
      <c r="O50" s="2" t="s">
        <v>123</v>
      </c>
      <c r="P50" s="2" t="s">
        <v>170</v>
      </c>
      <c r="Q50" s="2" t="str">
        <f t="shared" si="1"/>
        <v>diagnose firewall iprope lookup 44.119.8.158 445 10.201.0.201 445 tcp E2-EH-AGN</v>
      </c>
    </row>
    <row r="51" spans="1:17" x14ac:dyDescent="0.3">
      <c r="A51" t="s">
        <v>12</v>
      </c>
      <c r="B51" t="s">
        <v>13</v>
      </c>
      <c r="C51" t="s">
        <v>106</v>
      </c>
      <c r="D51" t="s">
        <v>104</v>
      </c>
      <c r="E51" t="s">
        <v>162</v>
      </c>
      <c r="I51" t="s">
        <v>16</v>
      </c>
      <c r="J51">
        <v>5985</v>
      </c>
      <c r="K51">
        <v>5985</v>
      </c>
      <c r="M51" s="2" t="s">
        <v>122</v>
      </c>
      <c r="N51" s="2" t="str">
        <f t="shared" si="0"/>
        <v>get router info routing-table details 44.119.8.158 | grep -f *</v>
      </c>
      <c r="O51" s="2" t="s">
        <v>123</v>
      </c>
      <c r="P51" s="2" t="s">
        <v>170</v>
      </c>
      <c r="Q51" s="2" t="str">
        <f t="shared" si="1"/>
        <v>diagnose firewall iprope lookup 44.119.8.158 5985 10.201.0.201 5985 tcp E2-EH-AGN</v>
      </c>
    </row>
    <row r="52" spans="1:17" x14ac:dyDescent="0.3">
      <c r="A52" t="s">
        <v>12</v>
      </c>
      <c r="B52" t="s">
        <v>13</v>
      </c>
      <c r="C52" t="s">
        <v>107</v>
      </c>
      <c r="D52" t="s">
        <v>108</v>
      </c>
      <c r="E52" t="s">
        <v>162</v>
      </c>
      <c r="I52" t="s">
        <v>16</v>
      </c>
      <c r="J52">
        <v>49152</v>
      </c>
      <c r="K52">
        <v>65535</v>
      </c>
      <c r="M52" s="2" t="s">
        <v>122</v>
      </c>
      <c r="N52" s="2" t="str">
        <f t="shared" si="0"/>
        <v>get router info routing-table details 44.119.8.158 | grep -f *</v>
      </c>
      <c r="O52" s="2" t="s">
        <v>123</v>
      </c>
      <c r="P52" s="2" t="s">
        <v>170</v>
      </c>
      <c r="Q52" s="2" t="str">
        <f t="shared" si="1"/>
        <v>diagnose firewall iprope lookup 44.119.8.158 49152 10.201.0.201 65535 tcp E2-EH-AGN</v>
      </c>
    </row>
    <row r="53" spans="1:17" x14ac:dyDescent="0.3">
      <c r="A53" t="s">
        <v>12</v>
      </c>
      <c r="B53" t="s">
        <v>13</v>
      </c>
      <c r="C53" t="s">
        <v>109</v>
      </c>
      <c r="D53" t="s">
        <v>110</v>
      </c>
      <c r="E53" t="s">
        <v>163</v>
      </c>
      <c r="I53" t="s">
        <v>16</v>
      </c>
      <c r="J53">
        <v>101</v>
      </c>
      <c r="K53">
        <v>101</v>
      </c>
      <c r="M53" s="2" t="s">
        <v>122</v>
      </c>
      <c r="N53" s="2" t="str">
        <f t="shared" si="0"/>
        <v>get router info routing-table details 10.202.157.143 | grep -f *</v>
      </c>
      <c r="O53" s="2" t="s">
        <v>123</v>
      </c>
      <c r="P53" s="2" t="s">
        <v>170</v>
      </c>
      <c r="Q53" s="2" t="str">
        <f t="shared" si="1"/>
        <v>diagnose firewall iprope lookup 10.202.157.143 101 10.201.0.201 101 tcp E2-EH-AGN</v>
      </c>
    </row>
    <row r="54" spans="1:17" x14ac:dyDescent="0.3">
      <c r="A54" t="s">
        <v>12</v>
      </c>
      <c r="B54" t="s">
        <v>13</v>
      </c>
      <c r="C54" t="s">
        <v>111</v>
      </c>
      <c r="D54" t="s">
        <v>112</v>
      </c>
      <c r="E54" t="s">
        <v>164</v>
      </c>
      <c r="I54" t="s">
        <v>16</v>
      </c>
      <c r="J54">
        <v>101</v>
      </c>
      <c r="K54">
        <v>101</v>
      </c>
      <c r="M54" s="2" t="s">
        <v>122</v>
      </c>
      <c r="N54" s="2" t="str">
        <f t="shared" si="0"/>
        <v>get router info routing-table details 10.222.68.107 | grep -f *</v>
      </c>
      <c r="O54" s="2" t="s">
        <v>123</v>
      </c>
      <c r="P54" s="2" t="s">
        <v>171</v>
      </c>
      <c r="Q54" s="2" t="str">
        <f t="shared" si="1"/>
        <v>diagnose firewall iprope lookup 10.222.68.107 101 10.201.0.201 101 tcp EH-VDI</v>
      </c>
    </row>
    <row r="55" spans="1:17" x14ac:dyDescent="0.3">
      <c r="A55" t="s">
        <v>12</v>
      </c>
      <c r="B55" t="s">
        <v>13</v>
      </c>
      <c r="C55" t="s">
        <v>113</v>
      </c>
      <c r="D55" t="s">
        <v>114</v>
      </c>
      <c r="E55" t="s">
        <v>165</v>
      </c>
      <c r="I55" t="s">
        <v>16</v>
      </c>
      <c r="J55">
        <v>101</v>
      </c>
      <c r="K55">
        <v>101</v>
      </c>
      <c r="M55" s="2" t="s">
        <v>122</v>
      </c>
      <c r="N55" s="2" t="str">
        <f t="shared" si="0"/>
        <v>get router info routing-table details 10.202.157.147 | grep -f *</v>
      </c>
      <c r="O55" s="2" t="s">
        <v>123</v>
      </c>
      <c r="P55" s="2" t="s">
        <v>170</v>
      </c>
      <c r="Q55" s="2" t="str">
        <f t="shared" si="1"/>
        <v>diagnose firewall iprope lookup 10.202.157.147 101 10.201.0.201 101 tcp E2-EH-AGN</v>
      </c>
    </row>
    <row r="56" spans="1:17" x14ac:dyDescent="0.3">
      <c r="A56" t="s">
        <v>12</v>
      </c>
      <c r="B56" t="s">
        <v>13</v>
      </c>
      <c r="C56" t="s">
        <v>115</v>
      </c>
      <c r="D56" t="s">
        <v>116</v>
      </c>
      <c r="E56" t="s">
        <v>166</v>
      </c>
      <c r="I56" t="s">
        <v>16</v>
      </c>
      <c r="J56">
        <v>101</v>
      </c>
      <c r="K56">
        <v>101</v>
      </c>
      <c r="M56" s="2" t="s">
        <v>122</v>
      </c>
      <c r="N56" s="2" t="str">
        <f t="shared" si="0"/>
        <v>get router info routing-table details 10.202.157.184 | grep -f *</v>
      </c>
      <c r="O56" s="2" t="s">
        <v>123</v>
      </c>
      <c r="P56" s="2" t="s">
        <v>170</v>
      </c>
      <c r="Q56" s="2" t="str">
        <f t="shared" si="1"/>
        <v>diagnose firewall iprope lookup 10.202.157.184 101 10.201.0.201 101 tcp E2-EH-AGN</v>
      </c>
    </row>
    <row r="57" spans="1:17" x14ac:dyDescent="0.3">
      <c r="A57" t="s">
        <v>12</v>
      </c>
      <c r="B57" t="s">
        <v>13</v>
      </c>
      <c r="C57" t="s">
        <v>117</v>
      </c>
      <c r="D57" t="s">
        <v>118</v>
      </c>
      <c r="E57" t="s">
        <v>167</v>
      </c>
      <c r="I57" t="s">
        <v>16</v>
      </c>
      <c r="J57">
        <v>101</v>
      </c>
      <c r="K57">
        <v>101</v>
      </c>
      <c r="M57" s="2" t="s">
        <v>122</v>
      </c>
      <c r="N57" s="2" t="str">
        <f t="shared" si="0"/>
        <v>get router info routing-table details 10.202.157.115 | grep -f *</v>
      </c>
      <c r="O57" s="2" t="s">
        <v>123</v>
      </c>
      <c r="P57" s="2" t="s">
        <v>170</v>
      </c>
      <c r="Q57" s="2" t="str">
        <f t="shared" si="1"/>
        <v>diagnose firewall iprope lookup 10.202.157.115 101 10.201.0.201 101 tcp E2-EH-AGN</v>
      </c>
    </row>
    <row r="58" spans="1:17" x14ac:dyDescent="0.3">
      <c r="A58" t="s">
        <v>12</v>
      </c>
      <c r="B58" t="s">
        <v>13</v>
      </c>
      <c r="C58" t="s">
        <v>119</v>
      </c>
      <c r="D58" t="s">
        <v>118</v>
      </c>
      <c r="E58" t="s">
        <v>167</v>
      </c>
      <c r="I58" t="s">
        <v>16</v>
      </c>
      <c r="J58">
        <v>445</v>
      </c>
      <c r="K58">
        <v>445</v>
      </c>
      <c r="M58" s="2" t="s">
        <v>122</v>
      </c>
      <c r="N58" s="2" t="str">
        <f t="shared" si="0"/>
        <v>get router info routing-table details 10.202.157.115 | grep -f *</v>
      </c>
      <c r="O58" s="2" t="s">
        <v>123</v>
      </c>
      <c r="P58" s="2" t="s">
        <v>170</v>
      </c>
      <c r="Q58" s="2" t="str">
        <f t="shared" si="1"/>
        <v>diagnose firewall iprope lookup 10.202.157.115 445 10.201.0.201 445 tcp E2-EH-AGN</v>
      </c>
    </row>
    <row r="59" spans="1:17" x14ac:dyDescent="0.3">
      <c r="A59" t="s">
        <v>12</v>
      </c>
      <c r="B59" t="s">
        <v>13</v>
      </c>
      <c r="C59" t="s">
        <v>120</v>
      </c>
      <c r="D59" t="s">
        <v>121</v>
      </c>
      <c r="E59" t="s">
        <v>168</v>
      </c>
      <c r="I59" t="s">
        <v>16</v>
      </c>
      <c r="J59">
        <v>101</v>
      </c>
      <c r="K59">
        <v>101</v>
      </c>
      <c r="M59" s="2" t="s">
        <v>122</v>
      </c>
      <c r="N59" s="2" t="str">
        <f t="shared" si="0"/>
        <v>get router info routing-table details 10.202.166.4 | grep -f *</v>
      </c>
      <c r="O59" s="2" t="s">
        <v>123</v>
      </c>
      <c r="P59" s="2" t="s">
        <v>170</v>
      </c>
      <c r="Q59" s="2" t="str">
        <f t="shared" si="1"/>
        <v>diagnose firewall iprope lookup 10.202.166.4 101 10.201.0.201 101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F5E8-FF6D-49A1-BD43-9CC357DC9E8B}">
  <dimension ref="A1:A173"/>
  <sheetViews>
    <sheetView tabSelected="1" topLeftCell="A154" workbookViewId="0">
      <selection activeCell="C164" sqref="C164"/>
    </sheetView>
  </sheetViews>
  <sheetFormatPr defaultRowHeight="14" x14ac:dyDescent="0.3"/>
  <cols>
    <col min="1" max="1" width="101.5" bestFit="1" customWidth="1"/>
  </cols>
  <sheetData>
    <row r="1" spans="1:1" x14ac:dyDescent="0.3">
      <c r="A1" t="s">
        <v>175</v>
      </c>
    </row>
    <row r="2" spans="1:1" x14ac:dyDescent="0.3">
      <c r="A2" t="s">
        <v>176</v>
      </c>
    </row>
    <row r="4" spans="1:1" x14ac:dyDescent="0.3">
      <c r="A4" t="s">
        <v>177</v>
      </c>
    </row>
    <row r="5" spans="1:1" x14ac:dyDescent="0.3">
      <c r="A5" t="s">
        <v>178</v>
      </c>
    </row>
    <row r="7" spans="1:1" x14ac:dyDescent="0.3">
      <c r="A7" t="s">
        <v>179</v>
      </c>
    </row>
    <row r="8" spans="1:1" x14ac:dyDescent="0.3">
      <c r="A8" t="s">
        <v>180</v>
      </c>
    </row>
    <row r="10" spans="1:1" x14ac:dyDescent="0.3">
      <c r="A10" t="s">
        <v>181</v>
      </c>
    </row>
    <row r="11" spans="1:1" x14ac:dyDescent="0.3">
      <c r="A11" t="s">
        <v>182</v>
      </c>
    </row>
    <row r="13" spans="1:1" x14ac:dyDescent="0.3">
      <c r="A13" t="s">
        <v>183</v>
      </c>
    </row>
    <row r="14" spans="1:1" x14ac:dyDescent="0.3">
      <c r="A14" t="s">
        <v>184</v>
      </c>
    </row>
    <row r="16" spans="1:1" x14ac:dyDescent="0.3">
      <c r="A16" t="s">
        <v>185</v>
      </c>
    </row>
    <row r="17" spans="1:1" x14ac:dyDescent="0.3">
      <c r="A17" t="s">
        <v>186</v>
      </c>
    </row>
    <row r="19" spans="1:1" x14ac:dyDescent="0.3">
      <c r="A19" t="s">
        <v>187</v>
      </c>
    </row>
    <row r="20" spans="1:1" x14ac:dyDescent="0.3">
      <c r="A20" t="s">
        <v>188</v>
      </c>
    </row>
    <row r="22" spans="1:1" x14ac:dyDescent="0.3">
      <c r="A22" t="s">
        <v>189</v>
      </c>
    </row>
    <row r="23" spans="1:1" x14ac:dyDescent="0.3">
      <c r="A23" t="s">
        <v>190</v>
      </c>
    </row>
    <row r="25" spans="1:1" x14ac:dyDescent="0.3">
      <c r="A25" t="s">
        <v>191</v>
      </c>
    </row>
    <row r="26" spans="1:1" x14ac:dyDescent="0.3">
      <c r="A26" t="s">
        <v>192</v>
      </c>
    </row>
    <row r="28" spans="1:1" x14ac:dyDescent="0.3">
      <c r="A28" t="s">
        <v>193</v>
      </c>
    </row>
    <row r="29" spans="1:1" x14ac:dyDescent="0.3">
      <c r="A29" t="s">
        <v>194</v>
      </c>
    </row>
    <row r="31" spans="1:1" x14ac:dyDescent="0.3">
      <c r="A31" t="s">
        <v>195</v>
      </c>
    </row>
    <row r="32" spans="1:1" x14ac:dyDescent="0.3">
      <c r="A32" t="s">
        <v>196</v>
      </c>
    </row>
    <row r="34" spans="1:1" x14ac:dyDescent="0.3">
      <c r="A34" t="s">
        <v>197</v>
      </c>
    </row>
    <row r="35" spans="1:1" x14ac:dyDescent="0.3">
      <c r="A35" t="s">
        <v>198</v>
      </c>
    </row>
    <row r="37" spans="1:1" x14ac:dyDescent="0.3">
      <c r="A37" t="s">
        <v>199</v>
      </c>
    </row>
    <row r="38" spans="1:1" x14ac:dyDescent="0.3">
      <c r="A38" t="s">
        <v>200</v>
      </c>
    </row>
    <row r="40" spans="1:1" x14ac:dyDescent="0.3">
      <c r="A40" t="s">
        <v>201</v>
      </c>
    </row>
    <row r="41" spans="1:1" x14ac:dyDescent="0.3">
      <c r="A41" t="s">
        <v>202</v>
      </c>
    </row>
    <row r="43" spans="1:1" x14ac:dyDescent="0.3">
      <c r="A43" t="s">
        <v>203</v>
      </c>
    </row>
    <row r="44" spans="1:1" x14ac:dyDescent="0.3">
      <c r="A44" t="s">
        <v>204</v>
      </c>
    </row>
    <row r="46" spans="1:1" x14ac:dyDescent="0.3">
      <c r="A46" t="s">
        <v>205</v>
      </c>
    </row>
    <row r="47" spans="1:1" x14ac:dyDescent="0.3">
      <c r="A47" t="s">
        <v>206</v>
      </c>
    </row>
    <row r="49" spans="1:1" x14ac:dyDescent="0.3">
      <c r="A49" t="s">
        <v>207</v>
      </c>
    </row>
    <row r="50" spans="1:1" x14ac:dyDescent="0.3">
      <c r="A50" t="s">
        <v>208</v>
      </c>
    </row>
    <row r="52" spans="1:1" x14ac:dyDescent="0.3">
      <c r="A52" t="s">
        <v>209</v>
      </c>
    </row>
    <row r="53" spans="1:1" x14ac:dyDescent="0.3">
      <c r="A53" t="s">
        <v>210</v>
      </c>
    </row>
    <row r="55" spans="1:1" x14ac:dyDescent="0.3">
      <c r="A55" t="s">
        <v>211</v>
      </c>
    </row>
    <row r="56" spans="1:1" x14ac:dyDescent="0.3">
      <c r="A56" t="s">
        <v>212</v>
      </c>
    </row>
    <row r="58" spans="1:1" x14ac:dyDescent="0.3">
      <c r="A58" t="s">
        <v>213</v>
      </c>
    </row>
    <row r="59" spans="1:1" x14ac:dyDescent="0.3">
      <c r="A59" t="s">
        <v>214</v>
      </c>
    </row>
    <row r="61" spans="1:1" x14ac:dyDescent="0.3">
      <c r="A61" t="s">
        <v>215</v>
      </c>
    </row>
    <row r="62" spans="1:1" x14ac:dyDescent="0.3">
      <c r="A62" t="s">
        <v>216</v>
      </c>
    </row>
    <row r="64" spans="1:1" x14ac:dyDescent="0.3">
      <c r="A64" t="s">
        <v>217</v>
      </c>
    </row>
    <row r="65" spans="1:1" x14ac:dyDescent="0.3">
      <c r="A65" t="s">
        <v>218</v>
      </c>
    </row>
    <row r="67" spans="1:1" x14ac:dyDescent="0.3">
      <c r="A67" t="s">
        <v>219</v>
      </c>
    </row>
    <row r="68" spans="1:1" x14ac:dyDescent="0.3">
      <c r="A68" t="s">
        <v>220</v>
      </c>
    </row>
    <row r="70" spans="1:1" x14ac:dyDescent="0.3">
      <c r="A70" t="s">
        <v>221</v>
      </c>
    </row>
    <row r="71" spans="1:1" x14ac:dyDescent="0.3">
      <c r="A71" t="s">
        <v>222</v>
      </c>
    </row>
    <row r="73" spans="1:1" x14ac:dyDescent="0.3">
      <c r="A73" t="s">
        <v>223</v>
      </c>
    </row>
    <row r="74" spans="1:1" x14ac:dyDescent="0.3">
      <c r="A74" t="s">
        <v>224</v>
      </c>
    </row>
    <row r="76" spans="1:1" x14ac:dyDescent="0.3">
      <c r="A76" t="s">
        <v>225</v>
      </c>
    </row>
    <row r="77" spans="1:1" x14ac:dyDescent="0.3">
      <c r="A77" t="s">
        <v>226</v>
      </c>
    </row>
    <row r="79" spans="1:1" x14ac:dyDescent="0.3">
      <c r="A79" t="s">
        <v>227</v>
      </c>
    </row>
    <row r="80" spans="1:1" x14ac:dyDescent="0.3">
      <c r="A80" t="s">
        <v>228</v>
      </c>
    </row>
    <row r="82" spans="1:1" x14ac:dyDescent="0.3">
      <c r="A82" t="s">
        <v>229</v>
      </c>
    </row>
    <row r="83" spans="1:1" x14ac:dyDescent="0.3">
      <c r="A83" t="s">
        <v>230</v>
      </c>
    </row>
    <row r="85" spans="1:1" x14ac:dyDescent="0.3">
      <c r="A85" t="s">
        <v>231</v>
      </c>
    </row>
    <row r="86" spans="1:1" x14ac:dyDescent="0.3">
      <c r="A86" t="s">
        <v>232</v>
      </c>
    </row>
    <row r="88" spans="1:1" x14ac:dyDescent="0.3">
      <c r="A88" t="s">
        <v>233</v>
      </c>
    </row>
    <row r="89" spans="1:1" x14ac:dyDescent="0.3">
      <c r="A89" t="s">
        <v>234</v>
      </c>
    </row>
    <row r="91" spans="1:1" x14ac:dyDescent="0.3">
      <c r="A91" t="s">
        <v>235</v>
      </c>
    </row>
    <row r="92" spans="1:1" x14ac:dyDescent="0.3">
      <c r="A92" t="s">
        <v>236</v>
      </c>
    </row>
    <row r="94" spans="1:1" x14ac:dyDescent="0.3">
      <c r="A94" t="s">
        <v>237</v>
      </c>
    </row>
    <row r="95" spans="1:1" x14ac:dyDescent="0.3">
      <c r="A95" t="s">
        <v>238</v>
      </c>
    </row>
    <row r="97" spans="1:1" x14ac:dyDescent="0.3">
      <c r="A97" t="s">
        <v>239</v>
      </c>
    </row>
    <row r="98" spans="1:1" x14ac:dyDescent="0.3">
      <c r="A98" t="s">
        <v>240</v>
      </c>
    </row>
    <row r="100" spans="1:1" x14ac:dyDescent="0.3">
      <c r="A100" t="s">
        <v>241</v>
      </c>
    </row>
    <row r="101" spans="1:1" x14ac:dyDescent="0.3">
      <c r="A101" t="s">
        <v>242</v>
      </c>
    </row>
    <row r="103" spans="1:1" x14ac:dyDescent="0.3">
      <c r="A103" t="s">
        <v>243</v>
      </c>
    </row>
    <row r="104" spans="1:1" x14ac:dyDescent="0.3">
      <c r="A104" t="s">
        <v>244</v>
      </c>
    </row>
    <row r="106" spans="1:1" x14ac:dyDescent="0.3">
      <c r="A106" t="s">
        <v>245</v>
      </c>
    </row>
    <row r="107" spans="1:1" x14ac:dyDescent="0.3">
      <c r="A107" t="s">
        <v>246</v>
      </c>
    </row>
    <row r="109" spans="1:1" x14ac:dyDescent="0.3">
      <c r="A109" t="s">
        <v>247</v>
      </c>
    </row>
    <row r="110" spans="1:1" x14ac:dyDescent="0.3">
      <c r="A110" t="s">
        <v>248</v>
      </c>
    </row>
    <row r="112" spans="1:1" x14ac:dyDescent="0.3">
      <c r="A112" t="s">
        <v>249</v>
      </c>
    </row>
    <row r="113" spans="1:1" x14ac:dyDescent="0.3">
      <c r="A113" t="s">
        <v>250</v>
      </c>
    </row>
    <row r="115" spans="1:1" x14ac:dyDescent="0.3">
      <c r="A115" t="s">
        <v>251</v>
      </c>
    </row>
    <row r="116" spans="1:1" x14ac:dyDescent="0.3">
      <c r="A116" t="s">
        <v>252</v>
      </c>
    </row>
    <row r="118" spans="1:1" x14ac:dyDescent="0.3">
      <c r="A118" t="s">
        <v>253</v>
      </c>
    </row>
    <row r="119" spans="1:1" x14ac:dyDescent="0.3">
      <c r="A119" t="s">
        <v>254</v>
      </c>
    </row>
    <row r="121" spans="1:1" x14ac:dyDescent="0.3">
      <c r="A121" t="s">
        <v>255</v>
      </c>
    </row>
    <row r="122" spans="1:1" x14ac:dyDescent="0.3">
      <c r="A122" t="s">
        <v>256</v>
      </c>
    </row>
    <row r="124" spans="1:1" x14ac:dyDescent="0.3">
      <c r="A124" t="s">
        <v>257</v>
      </c>
    </row>
    <row r="125" spans="1:1" x14ac:dyDescent="0.3">
      <c r="A125" t="s">
        <v>258</v>
      </c>
    </row>
    <row r="127" spans="1:1" x14ac:dyDescent="0.3">
      <c r="A127" t="s">
        <v>259</v>
      </c>
    </row>
    <row r="128" spans="1:1" x14ac:dyDescent="0.3">
      <c r="A128" t="s">
        <v>260</v>
      </c>
    </row>
    <row r="130" spans="1:1" x14ac:dyDescent="0.3">
      <c r="A130" t="s">
        <v>261</v>
      </c>
    </row>
    <row r="131" spans="1:1" x14ac:dyDescent="0.3">
      <c r="A131" t="s">
        <v>262</v>
      </c>
    </row>
    <row r="133" spans="1:1" x14ac:dyDescent="0.3">
      <c r="A133" t="s">
        <v>263</v>
      </c>
    </row>
    <row r="134" spans="1:1" x14ac:dyDescent="0.3">
      <c r="A134" t="s">
        <v>264</v>
      </c>
    </row>
    <row r="136" spans="1:1" x14ac:dyDescent="0.3">
      <c r="A136" t="s">
        <v>265</v>
      </c>
    </row>
    <row r="137" spans="1:1" x14ac:dyDescent="0.3">
      <c r="A137" t="s">
        <v>266</v>
      </c>
    </row>
    <row r="139" spans="1:1" x14ac:dyDescent="0.3">
      <c r="A139" t="s">
        <v>267</v>
      </c>
    </row>
    <row r="140" spans="1:1" x14ac:dyDescent="0.3">
      <c r="A140" t="s">
        <v>268</v>
      </c>
    </row>
    <row r="142" spans="1:1" x14ac:dyDescent="0.3">
      <c r="A142" t="s">
        <v>269</v>
      </c>
    </row>
    <row r="143" spans="1:1" x14ac:dyDescent="0.3">
      <c r="A143" t="s">
        <v>270</v>
      </c>
    </row>
    <row r="145" spans="1:1" x14ac:dyDescent="0.3">
      <c r="A145" t="s">
        <v>271</v>
      </c>
    </row>
    <row r="146" spans="1:1" x14ac:dyDescent="0.3">
      <c r="A146" t="s">
        <v>272</v>
      </c>
    </row>
    <row r="148" spans="1:1" x14ac:dyDescent="0.3">
      <c r="A148" t="s">
        <v>273</v>
      </c>
    </row>
    <row r="149" spans="1:1" x14ac:dyDescent="0.3">
      <c r="A149" t="s">
        <v>274</v>
      </c>
    </row>
    <row r="151" spans="1:1" x14ac:dyDescent="0.3">
      <c r="A151" t="s">
        <v>275</v>
      </c>
    </row>
    <row r="152" spans="1:1" x14ac:dyDescent="0.3">
      <c r="A152" t="s">
        <v>276</v>
      </c>
    </row>
    <row r="154" spans="1:1" x14ac:dyDescent="0.3">
      <c r="A154" t="s">
        <v>277</v>
      </c>
    </row>
    <row r="155" spans="1:1" x14ac:dyDescent="0.3">
      <c r="A155" t="s">
        <v>278</v>
      </c>
    </row>
    <row r="157" spans="1:1" x14ac:dyDescent="0.3">
      <c r="A157" t="s">
        <v>279</v>
      </c>
    </row>
    <row r="158" spans="1:1" x14ac:dyDescent="0.3">
      <c r="A158" t="s">
        <v>280</v>
      </c>
    </row>
    <row r="160" spans="1:1" x14ac:dyDescent="0.3">
      <c r="A160" t="s">
        <v>281</v>
      </c>
    </row>
    <row r="161" spans="1:1" x14ac:dyDescent="0.3">
      <c r="A161" t="s">
        <v>282</v>
      </c>
    </row>
    <row r="163" spans="1:1" x14ac:dyDescent="0.3">
      <c r="A163" t="s">
        <v>283</v>
      </c>
    </row>
    <row r="164" spans="1:1" x14ac:dyDescent="0.3">
      <c r="A164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9" spans="1:1" x14ac:dyDescent="0.3">
      <c r="A169" t="s">
        <v>287</v>
      </c>
    </row>
    <row r="170" spans="1:1" x14ac:dyDescent="0.3">
      <c r="A170" t="s">
        <v>288</v>
      </c>
    </row>
    <row r="172" spans="1:1" x14ac:dyDescent="0.3">
      <c r="A172" t="s">
        <v>289</v>
      </c>
    </row>
    <row r="173" spans="1:1" x14ac:dyDescent="0.3">
      <c r="A17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10.201.0.201_ads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2025-12-15T07:07:29Z</dcterms:created>
  <dcterms:modified xsi:type="dcterms:W3CDTF">2025-12-15T13:08:46Z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2025-12-15T07:07:29Z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e6948705-68d7-464f-a43c-e1081a28a4c4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