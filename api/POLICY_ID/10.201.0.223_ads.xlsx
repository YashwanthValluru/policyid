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wade\Desktop\New folder\"/>
    </mc:Choice>
  </mc:AlternateContent>
  <xr:revisionPtr revIDLastSave="0" documentId="13_ncr:1_{6229E8AF-4967-478D-B485-3C58985D7184}" xr6:coauthVersionLast="47" xr6:coauthVersionMax="47" xr10:uidLastSave="{00000000-0000-0000-0000-000000000000}"/>
  <bookViews>
    <workbookView xWindow="-110" yWindow="-110" windowWidth="19420" windowHeight="11500" activeTab="1" xr2:uid="{3A95E379-3CD4-45BC-A028-920AD5A33DF9}"/>
  </bookViews>
  <sheets>
    <sheet name="10.201.0.223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2" i="1"/>
  <c r="N3" i="1"/>
  <c r="N4" i="1"/>
  <c r="N5" i="1"/>
  <c r="N2" i="1"/>
</calcChain>
</file>

<file path=xl/sharedStrings.xml><?xml version="1.0" encoding="utf-8"?>
<sst xmlns="http://schemas.openxmlformats.org/spreadsheetml/2006/main" count="62" uniqueCount="42">
  <si>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</si>
  <si>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</si>
  <si>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</si>
  <si>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</si>
  <si>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</si>
  <si>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</si>
  <si>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</si>
  <si>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</si>
  <si>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</si>
  <si>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</si>
  <si>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</si>
  <si>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</si>
  <si>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</si>
  <si>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</si>
  <si>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</si>
  <si>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10.201.3.52</t>
  </si>
  <si>
    <t>tcp</t>
  </si>
  <si>
    <t>ads-rule-10003</t>
  </si>
  <si>
    <t>From ADS data. Allow from 10.201.3.221</t>
  </si>
  <si>
    <t>ads-rule-10008</t>
  </si>
  <si>
    <t>From ADS data. Allow from 10.72.42.5</t>
  </si>
  <si>
    <t>ads-rule-10014</t>
  </si>
  <si>
    <t>From ADS data. Allow from 44.168.32.144</t>
  </si>
  <si>
    <t>10.201.3.52</t>
  </si>
  <si>
    <t>10.201.3.221</t>
  </si>
  <si>
    <t>10.72.42.5</t>
  </si>
  <si>
    <t>44.168.32.144</t>
  </si>
  <si>
    <t>aa</t>
  </si>
  <si>
    <t>get router info routing-table details</t>
  </si>
  <si>
    <t>diagnose firewall iprope lookup</t>
  </si>
  <si>
    <t>E2-EH-ADMOPE-1</t>
  </si>
  <si>
    <t>E2-EH-AGN</t>
  </si>
  <si>
    <t>aaa</t>
  </si>
  <si>
    <t>FR-E2-FW-EH-1-FNET $ diagnose firewall iprope lookup 10.201.3.52 22 10.201.0.223 22 tcp E2-EH-ADMOPE-1</t>
  </si>
  <si>
    <t>&lt;src [10.201.3.52-22] dst [10.201.0.223-22] proto tcp dev E2-EH-ADMOPE-1&gt; matches policy id: 683</t>
  </si>
  <si>
    <t>FR-E2-FW-EH-1-FNET $ diagnose firewall iprope lookup 10.201.3.221 5666 10.201.0.223 5666 tcp E2-EH-ADMOPE-1</t>
  </si>
  <si>
    <t>&lt;src [10.201.3.221-5666] dst [10.201.0.223-5666] proto tcp dev E2-EH-ADMOPE-1&gt; matches policy id: 6258</t>
  </si>
  <si>
    <t>FR-E2-FW-EH-1-FNET $ diagnose firewall iprope lookup 10.72.42.5 22 10.201.0.223 22 tcp E2-EH-AGN</t>
  </si>
  <si>
    <t>&lt;src [10.72.42.5-22] dst [10.201.0.223-22] proto tcp dev E2-EH-AGN&gt; matches policy id: 8870</t>
  </si>
  <si>
    <t>FR-E2-FW-EH-1-FNET $ diagnose firewall iprope lookup 44.168.32.144 22 10.201.0.223 22 tcp E2-EH-AGN</t>
  </si>
  <si>
    <t>&lt;src [44.168.32.144-22] dst [10.201.0.223-22] proto tcp dev E2-EH-AGN&gt; matches policy id: 4151</t>
  </si>
  <si>
    <t xml:space="preserve">FR-E2-FW-EH-1-FNET $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</si>
</sst>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C98C-A3F8-4489-8DAF-4D9720CBA978}">
  <dimension ref="A1:Q5"/>
  <sheetViews>
    <sheetView topLeftCell="O1" workbookViewId="0">
      <selection activeCell="Q2" sqref="Q2:Q5"/>
    </sheetView>
  </sheetViews>
  <sheetFormatPr defaultRowHeight="14" x14ac:dyDescent="0.3"/>
  <cols>
    <col min="5" max="5" width="14.83203125" bestFit="1" customWidth="1"/>
    <col min="13" max="13" width="28.25" bestFit="1" customWidth="1"/>
    <col min="14" max="14" width="48.6640625" bestFit="1" customWidth="1"/>
    <col min="15" max="15" width="25.75" bestFit="1" customWidth="1"/>
    <col min="16" max="16" width="25.75" customWidth="1"/>
    <col min="17" max="17" width="76.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N1" t="s">
        <v>27</v>
      </c>
      <c r="O1" t="s">
        <v>27</v>
      </c>
      <c r="P1" t="s">
        <v>32</v>
      </c>
      <c r="Q1" t="s">
        <v>27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23</v>
      </c>
      <c r="I2" t="s">
        <v>16</v>
      </c>
      <c r="J2">
        <v>22</v>
      </c>
      <c r="K2">
        <v>22</v>
      </c>
      <c r="M2" t="s">
        <v>28</v>
      </c>
      <c r="N2" t="str">
        <f>_xlfn.CONCAT(M2," ",E2, " | grep -f *")</f>
        <v>get router info routing-table details 10.201.3.52 | grep -f *</v>
      </c>
      <c r="O2" t="s">
        <v>29</v>
      </c>
      <c r="P2" t="s">
        <v>30</v>
      </c>
      <c r="Q2" t="str">
        <f>_xlfn.CONCAT(O2," ",E2," ",J2," 10.201.0.223 ",K2, " tcp ",P2,"")</f>
        <v>diagnose firewall iprope lookup 10.201.3.52 22 10.201.0.223 22 tcp E2-EH-ADMOPE-1</v>
      </c>
    </row>
    <row r="3" spans="1:17" x14ac:dyDescent="0.3">
      <c r="A3" t="s">
        <v>12</v>
      </c>
      <c r="B3" t="s">
        <v>13</v>
      </c>
      <c r="C3" t="s">
        <v>17</v>
      </c>
      <c r="D3" t="s">
        <v>18</v>
      </c>
      <c r="E3" t="s">
        <v>24</v>
      </c>
      <c r="I3" t="s">
        <v>16</v>
      </c>
      <c r="J3">
        <v>5666</v>
      </c>
      <c r="K3">
        <v>5666</v>
      </c>
      <c r="M3" t="s">
        <v>28</v>
      </c>
      <c r="N3" t="str">
        <f t="shared" ref="N3:N5" si="0">_xlfn.CONCAT(M3," ",E3, " | grep -f *")</f>
        <v>get router info routing-table details 10.201.3.221 | grep -f *</v>
      </c>
      <c r="O3" t="s">
        <v>29</v>
      </c>
      <c r="P3" t="s">
        <v>30</v>
      </c>
      <c r="Q3" t="str">
        <f t="shared" ref="Q3:Q5" si="1">_xlfn.CONCAT(O3," ",E3," ",J3," 10.201.0.223 ",K3, " tcp ",P3,"")</f>
        <v>diagnose firewall iprope lookup 10.201.3.221 5666 10.201.0.223 5666 tcp E2-EH-ADMOPE-1</v>
      </c>
    </row>
    <row r="4" spans="1:17" x14ac:dyDescent="0.3">
      <c r="A4" t="s">
        <v>12</v>
      </c>
      <c r="B4" t="s">
        <v>13</v>
      </c>
      <c r="C4" t="s">
        <v>19</v>
      </c>
      <c r="D4" t="s">
        <v>20</v>
      </c>
      <c r="E4" t="s">
        <v>25</v>
      </c>
      <c r="I4" t="s">
        <v>16</v>
      </c>
      <c r="J4">
        <v>22</v>
      </c>
      <c r="K4">
        <v>22</v>
      </c>
      <c r="M4" t="s">
        <v>28</v>
      </c>
      <c r="N4" t="str">
        <f t="shared" si="0"/>
        <v>get router info routing-table details 10.72.42.5 | grep -f *</v>
      </c>
      <c r="O4" t="s">
        <v>29</v>
      </c>
      <c r="P4" t="s">
        <v>31</v>
      </c>
      <c r="Q4" t="str">
        <f t="shared" si="1"/>
        <v>diagnose firewall iprope lookup 10.72.42.5 22 10.201.0.223 22 tcp E2-EH-AGN</v>
      </c>
    </row>
    <row r="5" spans="1:17" x14ac:dyDescent="0.3">
      <c r="A5" t="s">
        <v>12</v>
      </c>
      <c r="B5" t="s">
        <v>13</v>
      </c>
      <c r="C5" t="s">
        <v>21</v>
      </c>
      <c r="D5" t="s">
        <v>22</v>
      </c>
      <c r="E5" t="s">
        <v>26</v>
      </c>
      <c r="I5" t="s">
        <v>16</v>
      </c>
      <c r="J5">
        <v>22</v>
      </c>
      <c r="K5">
        <v>22</v>
      </c>
      <c r="M5" t="s">
        <v>28</v>
      </c>
      <c r="N5" t="str">
        <f t="shared" si="0"/>
        <v>get router info routing-table details 44.168.32.144 | grep -f *</v>
      </c>
      <c r="O5" t="s">
        <v>29</v>
      </c>
      <c r="P5" t="s">
        <v>31</v>
      </c>
      <c r="Q5" t="str">
        <f t="shared" si="1"/>
        <v>diagnose firewall iprope lookup 44.168.32.144 22 10.201.0.223 22 tcp E2-EH-AGN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407B-9662-411E-AB7E-24AD7051154E}">
  <dimension ref="A1:A13"/>
  <sheetViews>
    <sheetView tabSelected="1" workbookViewId="0">
      <selection activeCell="A15" sqref="A15"/>
    </sheetView>
  </sheetViews>
  <sheetFormatPr defaultRowHeight="14" x14ac:dyDescent="0.3"/>
  <cols>
    <col min="1" max="1" width="98.4140625" bestFit="1" customWidth="1"/>
  </cols>
  <sheetData>
    <row r="1" spans="1:1" x14ac:dyDescent="0.3">
      <c r="A1" t="s">
        <v>33</v>
      </c>
    </row>
    <row r="2" spans="1:1" x14ac:dyDescent="0.3">
      <c r="A2" t="s">
        <v>34</v>
      </c>
    </row>
    <row r="4" spans="1:1" x14ac:dyDescent="0.3">
      <c r="A4" t="s">
        <v>35</v>
      </c>
    </row>
    <row r="5" spans="1:1" x14ac:dyDescent="0.3">
      <c r="A5" t="s">
        <v>36</v>
      </c>
    </row>
    <row r="7" spans="1:1" x14ac:dyDescent="0.3">
      <c r="A7" t="s">
        <v>37</v>
      </c>
    </row>
    <row r="8" spans="1:1" x14ac:dyDescent="0.3">
      <c r="A8" t="s">
        <v>38</v>
      </c>
    </row>
    <row r="10" spans="1:1" x14ac:dyDescent="0.3">
      <c r="A10" t="s">
        <v>39</v>
      </c>
    </row>
    <row r="11" spans="1:1" x14ac:dyDescent="0.3">
      <c r="A11" t="s">
        <v>40</v>
      </c>
    </row>
    <row r="13" spans="1:1" x14ac:dyDescent="0.3">
      <c r="A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10.201.0.223_ads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TAWADE, Abhishek (EH:GROUP)</dc:creator>
  <cp:lastModifiedBy>Tawade, Abhishek (Allianz Trade, external)</cp:lastModifiedBy>
  <dcterms:created xsi:type="dcterms:W3CDTF">2025-12-15T08:34:30Z</dcterms:created>
  <dcterms:modified xsi:type="dcterms:W3CDTF">2025-12-15T13:12:48Z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2025-12-15T08:34:30Z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ea31a058-60ac-47d9-af29-ecdad2c576dd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