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tawade\Desktop\New folder\"/>
    </mc:Choice>
  </mc:AlternateContent>
  <xr:revisionPtr revIDLastSave="0" documentId="13_ncr:1_{D1A0B7EA-F87B-4CD6-8CE0-D3B7DE60EB81}" xr6:coauthVersionLast="47" xr6:coauthVersionMax="47" xr10:uidLastSave="{00000000-0000-0000-0000-000000000000}"/>
  <bookViews>
    <workbookView xWindow="-110" yWindow="-110" windowWidth="19420" windowHeight="11500" xr2:uid="{126B2F82-6455-4B2C-A57B-3F6BFC5D10A7}"/>
  </bookViews>
  <sheets>
    <sheet name="10.201.0.234_ads" sheetId="1" r:id="rId1"/>
    <sheet name="Sheet1" sheetId="2" r:id="rId2"/>
  </sheets>
  <definedNames>
    <definedName name="_xlnm._FilterDatabase" localSheetId="0" hidden="1">'10.201.0.234_ads'!$A$1:$Q$101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3" i="1" l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2" i="1"/>
</calcChain>
</file>

<file path=xl/sharedStrings.xml><?xml version="1.0" encoding="utf-8"?>
<sst xmlns="http://schemas.openxmlformats.org/spreadsheetml/2006/main" count="1117" uniqueCount="520">
  <si>
    <t>resource_name</t>
  </si>
  <si>
    <t>type</t>
  </si>
  <si>
    <t>name</t>
  </si>
  <si>
    <t>description</t>
  </si>
  <si>
    <t>cidr_ipv4</t>
  </si>
  <si>
    <t>cidr_ipv6</t>
  </si>
  <si>
    <t>prefix_list_id</t>
  </si>
  <si>
    <t>referenced_security_group_id</t>
  </si>
  <si>
    <t>protocol</t>
  </si>
  <si>
    <t>from_port</t>
  </si>
  <si>
    <t>to_port</t>
  </si>
  <si>
    <t>policy_id</t>
  </si>
  <si>
    <t>sg</t>
  </si>
  <si>
    <t>ingress</t>
  </si>
  <si>
    <t>ads-rule-10001</t>
  </si>
  <si>
    <t>From ADS data. Allow from 172.18.0.9</t>
  </si>
  <si>
    <t>tcp</t>
  </si>
  <si>
    <t>ads-rule-10004</t>
  </si>
  <si>
    <t>From ADS data. Allow ephemeral ports from 172.18.0.9/32</t>
  </si>
  <si>
    <t>ads-rule-10005</t>
  </si>
  <si>
    <t>From ADS data. Allow from 172.18.0.4</t>
  </si>
  <si>
    <t>ads-rule-10007</t>
  </si>
  <si>
    <t>From ADS data. Allow from 10.246.59.253</t>
  </si>
  <si>
    <t>ads-rule-10008</t>
  </si>
  <si>
    <t>From ADS data. Allow from 10.199.99.217</t>
  </si>
  <si>
    <t>ads-rule-10010</t>
  </si>
  <si>
    <t>From ADS data. Allow from 172.18.0.7</t>
  </si>
  <si>
    <t>ads-rule-10011</t>
  </si>
  <si>
    <t>From ADS data. Allow from 172.18.0.10</t>
  </si>
  <si>
    <t>ads-rule-10012</t>
  </si>
  <si>
    <t>From ADS data. Allow ephemeral ports from 172.18.0.10/32</t>
  </si>
  <si>
    <t>ads-rule-10013</t>
  </si>
  <si>
    <t>From ADS data. Allow from 172.18.0.6</t>
  </si>
  <si>
    <t>ads-rule-10016</t>
  </si>
  <si>
    <t>From ADS data. Allow from 10.246.59.241</t>
  </si>
  <si>
    <t>ads-rule-10017</t>
  </si>
  <si>
    <t>From ADS data. Allow from 10.246.59.104</t>
  </si>
  <si>
    <t>ads-rule-10018</t>
  </si>
  <si>
    <t>From ADS data. Allow from 10.199.99.150</t>
  </si>
  <si>
    <t>ads-rule-10021</t>
  </si>
  <si>
    <t>From ADS data. Allow from 10.246.59.92</t>
  </si>
  <si>
    <t>ads-rule-10022</t>
  </si>
  <si>
    <t>From ADS data. Allow from 10.246.59.23</t>
  </si>
  <si>
    <t>ads-rule-10024</t>
  </si>
  <si>
    <t>From ADS data. Allow from 10.246.59.41</t>
  </si>
  <si>
    <t>ads-rule-10026</t>
  </si>
  <si>
    <t>From ADS data. Allow from 10.199.99.40</t>
  </si>
  <si>
    <t>ads-rule-10031</t>
  </si>
  <si>
    <t>From ADS data. Allow from 10.246.59.212</t>
  </si>
  <si>
    <t>ads-rule-10032</t>
  </si>
  <si>
    <t>From ADS data. Allow from 10.246.59.114</t>
  </si>
  <si>
    <t>ads-rule-10034</t>
  </si>
  <si>
    <t>From ADS data. Allow from 10.246.59.103</t>
  </si>
  <si>
    <t>ads-rule-10036</t>
  </si>
  <si>
    <t>From ADS data. Allow from 10.246.59.7</t>
  </si>
  <si>
    <t>ads-rule-10037</t>
  </si>
  <si>
    <t>From ADS data. Allow from 10.246.59.28</t>
  </si>
  <si>
    <t>ads-rule-10039</t>
  </si>
  <si>
    <t>From ADS data. Allow from 10.246.59.224</t>
  </si>
  <si>
    <t>ads-rule-10040</t>
  </si>
  <si>
    <t>From ADS data. Allow from 172.18.0.11</t>
  </si>
  <si>
    <t>ads-rule-10041</t>
  </si>
  <si>
    <t>From ADS data. Allow from 10.246.59.161</t>
  </si>
  <si>
    <t>ads-rule-10042</t>
  </si>
  <si>
    <t>From ADS data. Allow from 10.246.59.117</t>
  </si>
  <si>
    <t>ads-rule-10044</t>
  </si>
  <si>
    <t>From ADS data. Allow from 10.246.59.175</t>
  </si>
  <si>
    <t>ads-rule-10045</t>
  </si>
  <si>
    <t>From ADS data. Allow from 10.246.59.52</t>
  </si>
  <si>
    <t>ads-rule-10046</t>
  </si>
  <si>
    <t>From ADS data. Allow from 10.246.59.228</t>
  </si>
  <si>
    <t>ads-rule-10047</t>
  </si>
  <si>
    <t>From ADS data. Allow from 10.72.42.5</t>
  </si>
  <si>
    <t>ads-rule-10051</t>
  </si>
  <si>
    <t>From ADS data. Allow from 10.246.59.110</t>
  </si>
  <si>
    <t>ads-rule-10052</t>
  </si>
  <si>
    <t>From ADS data. Allow from 10.246.59.240</t>
  </si>
  <si>
    <t>ads-rule-10053</t>
  </si>
  <si>
    <t>From ADS data. Allow from 10.246.59.139</t>
  </si>
  <si>
    <t>ads-rule-10054</t>
  </si>
  <si>
    <t>From ADS data. Allow from 10.246.59.229</t>
  </si>
  <si>
    <t>ads-rule-10056</t>
  </si>
  <si>
    <t>From ADS data. Allow from 10.246.59.122</t>
  </si>
  <si>
    <t>ads-rule-10057</t>
  </si>
  <si>
    <t>From ADS data. Allow from 10.246.59.134</t>
  </si>
  <si>
    <t>ads-rule-10058</t>
  </si>
  <si>
    <t>From ADS data. Allow from 10.246.59.173</t>
  </si>
  <si>
    <t>ads-rule-10059</t>
  </si>
  <si>
    <t>From ADS data. Allow from 10.246.59.100</t>
  </si>
  <si>
    <t>ads-rule-10060</t>
  </si>
  <si>
    <t>From ADS data. Allow from 10.246.59.248</t>
  </si>
  <si>
    <t>ads-rule-10061</t>
  </si>
  <si>
    <t>From ADS data. Allow from 10.246.59.40</t>
  </si>
  <si>
    <t>ads-rule-10062</t>
  </si>
  <si>
    <t>From ADS data. Allow from 10.246.59.118</t>
  </si>
  <si>
    <t>ads-rule-10063</t>
  </si>
  <si>
    <t>From ADS data. Allow from 10.246.59.106</t>
  </si>
  <si>
    <t>ads-rule-10064</t>
  </si>
  <si>
    <t>From ADS data. Allow from 10.246.59.85</t>
  </si>
  <si>
    <t>ads-rule-10065</t>
  </si>
  <si>
    <t>From ADS data. Allow from 10.246.59.25</t>
  </si>
  <si>
    <t>ads-rule-10066</t>
  </si>
  <si>
    <t>From ADS data. Allow from 10.246.59.48</t>
  </si>
  <si>
    <t>ads-rule-10067</t>
  </si>
  <si>
    <t>From ADS data. Allow from 172.18.0.5</t>
  </si>
  <si>
    <t>ads-rule-10068</t>
  </si>
  <si>
    <t>From ADS data. Allow from 10.246.59.39</t>
  </si>
  <si>
    <t>ads-rule-10069</t>
  </si>
  <si>
    <t>From ADS data. Allow from 10.246.59.68</t>
  </si>
  <si>
    <t>ads-rule-10071</t>
  </si>
  <si>
    <t>From ADS data. Allow from 10.246.59.78</t>
  </si>
  <si>
    <t>ads-rule-10072</t>
  </si>
  <si>
    <t>From ADS data. Allow from 10.246.59.112</t>
  </si>
  <si>
    <t>ads-rule-10073</t>
  </si>
  <si>
    <t>From ADS data. Allow from 10.246.59.97</t>
  </si>
  <si>
    <t>ads-rule-10074</t>
  </si>
  <si>
    <t>From ADS data. Allow from 10.246.59.160</t>
  </si>
  <si>
    <t>ads-rule-10075</t>
  </si>
  <si>
    <t>From ADS data. Allow from 10.246.59.87</t>
  </si>
  <si>
    <t>ads-rule-10077</t>
  </si>
  <si>
    <t>From ADS data. Allow from 10.246.59.12</t>
  </si>
  <si>
    <t>ads-rule-10078</t>
  </si>
  <si>
    <t>From ADS data. Allow from 10.246.59.62</t>
  </si>
  <si>
    <t>ads-rule-10079</t>
  </si>
  <si>
    <t>From ADS data. Allow from 10.246.59.218</t>
  </si>
  <si>
    <t>ads-rule-10080</t>
  </si>
  <si>
    <t>From ADS data. Allow from 10.17.42.6</t>
  </si>
  <si>
    <t>ads-rule-10081</t>
  </si>
  <si>
    <t>From ADS data. Allow from 10.246.59.49</t>
  </si>
  <si>
    <t>ads-rule-10082</t>
  </si>
  <si>
    <t>From ADS data. Allow from 10.246.59.156</t>
  </si>
  <si>
    <t>ads-rule-10083</t>
  </si>
  <si>
    <t>From ADS data. Allow from 10.246.59.119</t>
  </si>
  <si>
    <t>ads-rule-10084</t>
  </si>
  <si>
    <t>From ADS data. Allow from 10.246.59.27</t>
  </si>
  <si>
    <t>ads-rule-10085</t>
  </si>
  <si>
    <t>From ADS data. Allow from 10.246.59.15</t>
  </si>
  <si>
    <t>ads-rule-10086</t>
  </si>
  <si>
    <t>From ADS data. Allow from 10.246.59.98</t>
  </si>
  <si>
    <t>ads-rule-10087</t>
  </si>
  <si>
    <t>From ADS data. Allow from 10.246.59.18</t>
  </si>
  <si>
    <t>ads-rule-10089</t>
  </si>
  <si>
    <t>From ADS data. Allow from 10.246.59.242</t>
  </si>
  <si>
    <t>ads-rule-10092</t>
  </si>
  <si>
    <t>From ADS data. Allow from 10.246.59.191</t>
  </si>
  <si>
    <t>ads-rule-10093</t>
  </si>
  <si>
    <t>From ADS data. Allow from 10.246.59.6</t>
  </si>
  <si>
    <t>ads-rule-10095</t>
  </si>
  <si>
    <t>From ADS data. Allow from 10.246.59.35</t>
  </si>
  <si>
    <t>ads-rule-10096</t>
  </si>
  <si>
    <t>From ADS data. Allow from 10.246.59.45</t>
  </si>
  <si>
    <t>ads-rule-10097</t>
  </si>
  <si>
    <t>From ADS data. Allow from 10.246.59.210</t>
  </si>
  <si>
    <t>ads-rule-10098</t>
  </si>
  <si>
    <t>From ADS data. Allow from 10.246.59.192</t>
  </si>
  <si>
    <t>ads-rule-10099</t>
  </si>
  <si>
    <t>From ADS data. Allow from 10.246.59.238</t>
  </si>
  <si>
    <t>ads-rule-10100</t>
  </si>
  <si>
    <t>From ADS data. Allow from 10.246.59.244</t>
  </si>
  <si>
    <t>ads-rule-10102</t>
  </si>
  <si>
    <t>From ADS data. Allow from 10.246.59.14</t>
  </si>
  <si>
    <t>ads-rule-10104</t>
  </si>
  <si>
    <t>From ADS data. Allow from 10.246.59.5</t>
  </si>
  <si>
    <t>ads-rule-10105</t>
  </si>
  <si>
    <t>From ADS data. Allow from 10.246.59.141</t>
  </si>
  <si>
    <t>ads-rule-10106</t>
  </si>
  <si>
    <t>From ADS data. Allow from 10.246.59.137</t>
  </si>
  <si>
    <t>ads-rule-10107</t>
  </si>
  <si>
    <t>From ADS data. Allow from 10.246.59.205</t>
  </si>
  <si>
    <t>ads-rule-10108</t>
  </si>
  <si>
    <t>From ADS data. Allow from 10.246.59.60</t>
  </si>
  <si>
    <t>ads-rule-10109</t>
  </si>
  <si>
    <t>From ADS data. Allow from 10.246.59.230</t>
  </si>
  <si>
    <t>ads-rule-10110</t>
  </si>
  <si>
    <t>From ADS data. Allow from 10.246.59.150</t>
  </si>
  <si>
    <t>ads-rule-10112</t>
  </si>
  <si>
    <t>From ADS data. Allow from 10.246.59.208</t>
  </si>
  <si>
    <t>ads-rule-10113</t>
  </si>
  <si>
    <t>From ADS data. Allow from 10.246.59.34</t>
  </si>
  <si>
    <t>ads-rule-10114</t>
  </si>
  <si>
    <t>From ADS data. Allow from 10.246.59.69</t>
  </si>
  <si>
    <t>ads-rule-10115</t>
  </si>
  <si>
    <t>From ADS data. Allow from 10.246.59.246</t>
  </si>
  <si>
    <t>ads-rule-10116</t>
  </si>
  <si>
    <t>From ADS data. Allow from 10.246.59.30</t>
  </si>
  <si>
    <t>ads-rule-10118</t>
  </si>
  <si>
    <t>From ADS data. Allow from 10.246.59.166</t>
  </si>
  <si>
    <t>ads-rule-10120</t>
  </si>
  <si>
    <t>From ADS data. Allow from 10.246.59.89</t>
  </si>
  <si>
    <t>ads-rule-10122</t>
  </si>
  <si>
    <t>From ADS data. Allow from 10.246.59.154</t>
  </si>
  <si>
    <t>ads-rule-10123</t>
  </si>
  <si>
    <t>From ADS data. Allow from 10.246.59.63</t>
  </si>
  <si>
    <t>ads-rule-10124</t>
  </si>
  <si>
    <t>From ADS data. Allow from 10.246.59.162</t>
  </si>
  <si>
    <t>ads-rule-10125</t>
  </si>
  <si>
    <t>From ADS data. Allow from 10.246.59.153</t>
  </si>
  <si>
    <t>ads-rule-10126</t>
  </si>
  <si>
    <t>From ADS data. Allow from 10.246.59.32</t>
  </si>
  <si>
    <t>ads-rule-10127</t>
  </si>
  <si>
    <t>From ADS data. Allow from 10.222.210.161</t>
  </si>
  <si>
    <t>ads-rule-10128</t>
  </si>
  <si>
    <t>From ADS data. Allow from 10.246.59.108</t>
  </si>
  <si>
    <t>ads-rule-10129</t>
  </si>
  <si>
    <t>From ADS data. Allow from 10.246.59.10</t>
  </si>
  <si>
    <t>ads-rule-10130</t>
  </si>
  <si>
    <t>From ADS data. Allow from 10.246.59.220</t>
  </si>
  <si>
    <t>ads-rule-10131</t>
  </si>
  <si>
    <t>From ADS data. Allow from 10.246.59.53</t>
  </si>
  <si>
    <t>ads-rule-10133</t>
  </si>
  <si>
    <t>From ADS data. Allow from 10.246.59.233</t>
  </si>
  <si>
    <t>ads-rule-10134</t>
  </si>
  <si>
    <t>From ADS data. Allow from 10.246.59.172</t>
  </si>
  <si>
    <t>ads-rule-10135</t>
  </si>
  <si>
    <t>From ADS data. Allow from 10.246.59.247</t>
  </si>
  <si>
    <t>172.18.0.9</t>
  </si>
  <si>
    <t>172.18.0.4</t>
  </si>
  <si>
    <t>10.246.59.253</t>
  </si>
  <si>
    <t>10.199.99.217</t>
  </si>
  <si>
    <t>172.18.0.7</t>
  </si>
  <si>
    <t>172.18.0.10</t>
  </si>
  <si>
    <t>172.18.0.6</t>
  </si>
  <si>
    <t>10.246.59.241</t>
  </si>
  <si>
    <t>10.246.59.104</t>
  </si>
  <si>
    <t>10.199.99.150</t>
  </si>
  <si>
    <t>10.246.59.92</t>
  </si>
  <si>
    <t>10.246.59.23</t>
  </si>
  <si>
    <t>10.246.59.41</t>
  </si>
  <si>
    <t>10.199.99.40</t>
  </si>
  <si>
    <t>10.246.59.212</t>
  </si>
  <si>
    <t>10.246.59.114</t>
  </si>
  <si>
    <t>10.246.59.103</t>
  </si>
  <si>
    <t>10.246.59.7</t>
  </si>
  <si>
    <t>10.246.59.28</t>
  </si>
  <si>
    <t>10.246.59.224</t>
  </si>
  <si>
    <t>172.18.0.11</t>
  </si>
  <si>
    <t>10.246.59.161</t>
  </si>
  <si>
    <t>10.246.59.117</t>
  </si>
  <si>
    <t>10.246.59.175</t>
  </si>
  <si>
    <t>10.246.59.52</t>
  </si>
  <si>
    <t>10.246.59.228</t>
  </si>
  <si>
    <t>10.72.42.5</t>
  </si>
  <si>
    <t>10.246.59.110</t>
  </si>
  <si>
    <t>10.246.59.240</t>
  </si>
  <si>
    <t>10.246.59.139</t>
  </si>
  <si>
    <t>10.246.59.229</t>
  </si>
  <si>
    <t>10.246.59.122</t>
  </si>
  <si>
    <t>10.246.59.134</t>
  </si>
  <si>
    <t>10.246.59.173</t>
  </si>
  <si>
    <t>10.246.59.100</t>
  </si>
  <si>
    <t>10.246.59.248</t>
  </si>
  <si>
    <t>10.246.59.40</t>
  </si>
  <si>
    <t>10.246.59.118</t>
  </si>
  <si>
    <t>10.246.59.106</t>
  </si>
  <si>
    <t>10.246.59.85</t>
  </si>
  <si>
    <t>10.246.59.25</t>
  </si>
  <si>
    <t>10.246.59.48</t>
  </si>
  <si>
    <t>172.18.0.5</t>
  </si>
  <si>
    <t>10.246.59.39</t>
  </si>
  <si>
    <t>10.246.59.68</t>
  </si>
  <si>
    <t>10.246.59.78</t>
  </si>
  <si>
    <t>10.246.59.112</t>
  </si>
  <si>
    <t>10.246.59.97</t>
  </si>
  <si>
    <t>10.246.59.160</t>
  </si>
  <si>
    <t>10.246.59.87</t>
  </si>
  <si>
    <t>10.246.59.12</t>
  </si>
  <si>
    <t>10.246.59.62</t>
  </si>
  <si>
    <t>10.246.59.218</t>
  </si>
  <si>
    <t>10.17.42.6</t>
  </si>
  <si>
    <t>10.246.59.49</t>
  </si>
  <si>
    <t>10.246.59.156</t>
  </si>
  <si>
    <t>10.246.59.119</t>
  </si>
  <si>
    <t>10.246.59.27</t>
  </si>
  <si>
    <t>10.246.59.15</t>
  </si>
  <si>
    <t>10.246.59.98</t>
  </si>
  <si>
    <t>10.246.59.18</t>
  </si>
  <si>
    <t>10.246.59.242</t>
  </si>
  <si>
    <t>10.246.59.191</t>
  </si>
  <si>
    <t>10.246.59.6</t>
  </si>
  <si>
    <t>10.246.59.35</t>
  </si>
  <si>
    <t>10.246.59.45</t>
  </si>
  <si>
    <t>10.246.59.210</t>
  </si>
  <si>
    <t>10.246.59.192</t>
  </si>
  <si>
    <t>10.246.59.238</t>
  </si>
  <si>
    <t>10.246.59.244</t>
  </si>
  <si>
    <t>10.246.59.14</t>
  </si>
  <si>
    <t>10.246.59.5</t>
  </si>
  <si>
    <t>10.246.59.141</t>
  </si>
  <si>
    <t>10.246.59.137</t>
  </si>
  <si>
    <t>10.246.59.205</t>
  </si>
  <si>
    <t>10.246.59.60</t>
  </si>
  <si>
    <t>10.246.59.230</t>
  </si>
  <si>
    <t>10.246.59.150</t>
  </si>
  <si>
    <t>10.246.59.208</t>
  </si>
  <si>
    <t>10.246.59.34</t>
  </si>
  <si>
    <t>10.246.59.69</t>
  </si>
  <si>
    <t>10.246.59.246</t>
  </si>
  <si>
    <t>10.246.59.30</t>
  </si>
  <si>
    <t>10.246.59.166</t>
  </si>
  <si>
    <t>10.246.59.89</t>
  </si>
  <si>
    <t>10.246.59.154</t>
  </si>
  <si>
    <t>10.246.59.63</t>
  </si>
  <si>
    <t>10.246.59.162</t>
  </si>
  <si>
    <t>10.246.59.153</t>
  </si>
  <si>
    <t>10.246.59.32</t>
  </si>
  <si>
    <t>10.222.210.161</t>
  </si>
  <si>
    <t>10.246.59.108</t>
  </si>
  <si>
    <t>10.246.59.10</t>
  </si>
  <si>
    <t>10.246.59.220</t>
  </si>
  <si>
    <t>10.246.59.53</t>
  </si>
  <si>
    <t>10.246.59.233</t>
  </si>
  <si>
    <t>10.246.59.172</t>
  </si>
  <si>
    <t>10.246.59.247</t>
  </si>
  <si>
    <t>aa</t>
  </si>
  <si>
    <t>get router info routing-table details</t>
  </si>
  <si>
    <t>diagnose firewall iprope lookup</t>
  </si>
  <si>
    <t>E2-EH-PATHRU</t>
  </si>
  <si>
    <t>E2-EH-AGN</t>
  </si>
  <si>
    <t>E2-EH-VPN</t>
  </si>
  <si>
    <t>aaa</t>
  </si>
  <si>
    <t>FR-E2-FW-EH-1-FNET $ diagnose firewall iprope lookup 172.18.0.9 443 10.201.0.234 443 tcp E2-EH-PATHRU</t>
  </si>
  <si>
    <t>&lt;src [172.18.0.9-443] dst [10.201.0.234-443] proto tcp dev E2-EH-PATHRU&gt; matches policy id: 680</t>
  </si>
  <si>
    <t>FR-E2-FW-EH-1-FNET $ diagnose firewall iprope lookup 172.18.0.9 49152 10.201.0.234 65535 tcp E2-EH-PATHRU</t>
  </si>
  <si>
    <t>&lt;src [172.18.0.9-49152] dst [10.201.0.234-65535] proto tcp dev E2-EH-PATHRU&gt; matches policy id: 680</t>
  </si>
  <si>
    <t>FR-E2-FW-EH-1-FNET $ diagnose firewall iprope lookup 172.18.0.4 443 10.201.0.234 443 tcp E2-EH-PATHRU</t>
  </si>
  <si>
    <t>&lt;src [172.18.0.4-443] dst [10.201.0.234-443] proto tcp dev E2-EH-PATHRU&gt; matches policy id: 680</t>
  </si>
  <si>
    <t>FR-E2-FW-EH-1-FNET $ diagnose firewall iprope lookup 10.246.59.253 22 10.201.0.234 22 tcp E2-EH-AGN</t>
  </si>
  <si>
    <t>&lt;src [10.246.59.253-22] dst [10.201.0.234-22] proto tcp dev E2-EH-AGN&gt; matches policy id: 8184</t>
  </si>
  <si>
    <t>FR-E2-FW-EH-1-FNET $ diagnose firewall iprope lookup 10.199.99.217 22 10.201.0.234 22 tcp E2-EH-AGN</t>
  </si>
  <si>
    <t>&lt;src [10.199.99.217-22] dst [10.201.0.234-22] proto tcp dev E2-EH-AGN&gt; matches policy id: 4151</t>
  </si>
  <si>
    <t>FR-E2-FW-EH-1-FNET $ diagnose firewall iprope lookup 172.18.0.7 443 10.201.0.234 443 tcp E2-EH-PATHRU</t>
  </si>
  <si>
    <t>&lt;src [172.18.0.7-443] dst [10.201.0.234-443] proto tcp dev E2-EH-PATHRU&gt; matches policy id: 680</t>
  </si>
  <si>
    <t>FR-E2-FW-EH-1-FNET $ diagnose firewall iprope lookup 172.18.0.10 443 10.201.0.234 443 tcp E2-EH-PATHRU</t>
  </si>
  <si>
    <t>&lt;src [172.18.0.10-443] dst [10.201.0.234-443] proto tcp dev E2-EH-PATHRU&gt; matches policy id: 680</t>
  </si>
  <si>
    <t>FR-E2-FW-EH-1-FNET $ diagnose firewall iprope lookup 172.18.0.10 49152 10.201.0.234 65535 tcp E2-EH-PATHRU</t>
  </si>
  <si>
    <t>&lt;src [172.18.0.10-49152] dst [10.201.0.234-65535] proto tcp dev E2-EH-PATHRU&gt; matches policy id: 680</t>
  </si>
  <si>
    <t>FR-E2-FW-EH-1-FNET $ diagnose firewall iprope lookup 172.18.0.6 443 10.201.0.234 443 tcp E2-EH-PATHRU</t>
  </si>
  <si>
    <t>&lt;src [172.18.0.6-443] dst [10.201.0.234-443] proto tcp dev E2-EH-PATHRU&gt; matches policy id: 680</t>
  </si>
  <si>
    <t>FR-E2-FW-EH-1-FNET $ diagnose firewall iprope lookup 10.246.59.241 22 10.201.0.234 22 tcp E2-EH-AGN</t>
  </si>
  <si>
    <t>&lt;src [10.246.59.241-22] dst [10.201.0.234-22] proto tcp dev E2-EH-AGN&gt; matches policy id: 8184</t>
  </si>
  <si>
    <t>FR-E2-FW-EH-1-FNET $ diagnose firewall iprope lookup 10.246.59.104 22 10.201.0.234 22 tcp E2-EH-AGN</t>
  </si>
  <si>
    <t>&lt;src [10.246.59.104-22] dst [10.201.0.234-22] proto tcp dev E2-EH-AGN&gt; matches policy id: 8184</t>
  </si>
  <si>
    <t>FR-E2-FW-EH-1-FNET $ diagnose firewall iprope lookup 10.199.99.150 22 10.201.0.234 22 tcp E2-EH-AGN</t>
  </si>
  <si>
    <t>&lt;src [10.199.99.150-22] dst [10.201.0.234-22] proto tcp dev E2-EH-AGN&gt; matches policy id: 4151</t>
  </si>
  <si>
    <t>FR-E2-FW-EH-1-FNET $ diagnose firewall iprope lookup 10.246.59.92 22 10.201.0.234 22 tcp E2-EH-AGN</t>
  </si>
  <si>
    <t>&lt;src [10.246.59.92-22] dst [10.201.0.234-22] proto tcp dev E2-EH-AGN&gt; matches policy id: 8184</t>
  </si>
  <si>
    <t>FR-E2-FW-EH-1-FNET $ diagnose firewall iprope lookup 10.246.59.23 22 10.201.0.234 22 tcp E2-EH-AGN</t>
  </si>
  <si>
    <t>&lt;src [10.246.59.23-22] dst [10.201.0.234-22] proto tcp dev E2-EH-AGN&gt; matches policy id: 8184</t>
  </si>
  <si>
    <t>FR-E2-FW-EH-1-FNET $ diagnose firewall iprope lookup 10.246.59.41 22 10.201.0.234 22 tcp E2-EH-AGN</t>
  </si>
  <si>
    <t>&lt;src [10.246.59.41-22] dst [10.201.0.234-22] proto tcp dev E2-EH-AGN&gt; matches policy id: 8184</t>
  </si>
  <si>
    <t>FR-E2-FW-EH-1-FNET $ diagnose firewall iprope lookup 10.199.99.40 22 10.201.0.234 22 tcp E2-EH-AGN</t>
  </si>
  <si>
    <t>&lt;src [10.199.99.40-22] dst [10.201.0.234-22] proto tcp dev E2-EH-AGN&gt; matches policy id: 4151</t>
  </si>
  <si>
    <t>FR-E2-FW-EH-1-FNET $ diagnose firewall iprope lookup 10.246.59.212 22 10.201.0.234 22 tcp E2-EH-AGN</t>
  </si>
  <si>
    <t>&lt;src [10.246.59.212-22] dst [10.201.0.234-22] proto tcp dev E2-EH-AGN&gt; matches policy id: 8184</t>
  </si>
  <si>
    <t>FR-E2-FW-EH-1-FNET $ diagnose firewall iprope lookup 10.246.59.114 22 10.201.0.234 22 tcp E2-EH-AGN</t>
  </si>
  <si>
    <t>&lt;src [10.246.59.114-22] dst [10.201.0.234-22] proto tcp dev E2-EH-AGN&gt; matches policy id: 8184</t>
  </si>
  <si>
    <t>FR-E2-FW-EH-1-FNET $ diagnose firewall iprope lookup 10.246.59.103 22 10.201.0.234 22 tcp E2-EH-AGN</t>
  </si>
  <si>
    <t>&lt;src [10.246.59.103-22] dst [10.201.0.234-22] proto tcp dev E2-EH-AGN&gt; matches policy id: 8184</t>
  </si>
  <si>
    <t>FR-E2-FW-EH-1-FNET $ diagnose firewall iprope lookup 10.246.59.7 22 10.201.0.234 22 tcp E2-EH-AGN</t>
  </si>
  <si>
    <t>&lt;src [10.246.59.7-22] dst [10.201.0.234-22] proto tcp dev E2-EH-AGN&gt; matches policy id: 8184</t>
  </si>
  <si>
    <t>FR-E2-FW-EH-1-FNET $ diagnose firewall iprope lookup 10.246.59.28 22 10.201.0.234 22 tcp E2-EH-AGN</t>
  </si>
  <si>
    <t>&lt;src [10.246.59.28-22] dst [10.201.0.234-22] proto tcp dev E2-EH-AGN&gt; matches policy id: 8184</t>
  </si>
  <si>
    <t>FR-E2-FW-EH-1-FNET $ diagnose firewall iprope lookup 10.246.59.224 22 10.201.0.234 22 tcp E2-EH-AGN</t>
  </si>
  <si>
    <t>&lt;src [10.246.59.224-22] dst [10.201.0.234-22] proto tcp dev E2-EH-AGN&gt; matches policy id: 8184</t>
  </si>
  <si>
    <t>FR-E2-FW-EH-1-FNET $ diagnose firewall iprope lookup 172.18.0.11 443 10.201.0.234 443 tcp E2-EH-PATHRU</t>
  </si>
  <si>
    <t>&lt;src [172.18.0.11-443] dst [10.201.0.234-443] proto tcp dev E2-EH-PATHRU&gt; matches policy id: 680</t>
  </si>
  <si>
    <t>FR-E2-FW-EH-1-FNET $ diagnose firewall iprope lookup 10.246.59.161 22 10.201.0.234 22 tcp E2-EH-AGN</t>
  </si>
  <si>
    <t>&lt;src [10.246.59.161-22] dst [10.201.0.234-22] proto tcp dev E2-EH-AGN&gt; matches policy id: 8184</t>
  </si>
  <si>
    <t>FR-E2-FW-EH-1-FNET $ diagnose firewall iprope lookup 10.246.59.117 22 10.201.0.234 22 tcp E2-EH-AGN</t>
  </si>
  <si>
    <t>&lt;src [10.246.59.117-22] dst [10.201.0.234-22] proto tcp dev E2-EH-AGN&gt; matches policy id: 8184</t>
  </si>
  <si>
    <t>FR-E2-FW-EH-1-FNET $ diagnose firewall iprope lookup 10.246.59.175 22 10.201.0.234 22 tcp E2-EH-AGN</t>
  </si>
  <si>
    <t>&lt;src [10.246.59.175-22] dst [10.201.0.234-22] proto tcp dev E2-EH-AGN&gt; matches policy id: 8184</t>
  </si>
  <si>
    <t>FR-E2-FW-EH-1-FNET $ diagnose firewall iprope lookup 10.246.59.52 22 10.201.0.234 22 tcp E2-EH-AGN</t>
  </si>
  <si>
    <t>&lt;src [10.246.59.52-22] dst [10.201.0.234-22] proto tcp dev E2-EH-AGN&gt; matches policy id: 8184</t>
  </si>
  <si>
    <t>FR-E2-FW-EH-1-FNET $ diagnose firewall iprope lookup 10.246.59.228 22 10.201.0.234 22 tcp E2-EH-AGN</t>
  </si>
  <si>
    <t>&lt;src [10.246.59.228-22] dst [10.201.0.234-22] proto tcp dev E2-EH-AGN&gt; matches policy id: 8184</t>
  </si>
  <si>
    <t>FR-E2-FW-EH-1-FNET $ diagnose firewall iprope lookup 10.72.42.5 22 10.201.0.234 22 tcp E2-EH-AGN</t>
  </si>
  <si>
    <t>&lt;src [10.72.42.5-22] dst [10.201.0.234-22] proto tcp dev E2-EH-AGN&gt; matches policy id: 8870</t>
  </si>
  <si>
    <t>FR-E2-FW-EH-1-FNET $ diagnose firewall iprope lookup 10.246.59.110 22 10.201.0.234 22 tcp E2-EH-AGN</t>
  </si>
  <si>
    <t>&lt;src [10.246.59.110-22] dst [10.201.0.234-22] proto tcp dev E2-EH-AGN&gt; matches policy id: 8184</t>
  </si>
  <si>
    <t>FR-E2-FW-EH-1-FNET $ diagnose firewall iprope lookup 10.246.59.240 22 10.201.0.234 22 tcp E2-EH-AGN</t>
  </si>
  <si>
    <t>&lt;src [10.246.59.240-22] dst [10.201.0.234-22] proto tcp dev E2-EH-AGN&gt; matches policy id: 8184</t>
  </si>
  <si>
    <t>FR-E2-FW-EH-1-FNET $ diagnose firewall iprope lookup 10.246.59.139 22 10.201.0.234 22 tcp E2-EH-AGN</t>
  </si>
  <si>
    <t>&lt;src [10.246.59.139-22] dst [10.201.0.234-22] proto tcp dev E2-EH-AGN&gt; matches policy id: 8184</t>
  </si>
  <si>
    <t>FR-E2-FW-EH-1-FNET $ diagnose firewall iprope lookup 10.246.59.229 22 10.201.0.234 22 tcp E2-EH-AGN</t>
  </si>
  <si>
    <t>&lt;src [10.246.59.229-22] dst [10.201.0.234-22] proto tcp dev E2-EH-AGN&gt; matches policy id: 8184</t>
  </si>
  <si>
    <t>FR-E2-FW-EH-1-FNET $ diagnose firewall iprope lookup 10.246.59.122 22 10.201.0.234 22 tcp E2-EH-AGN</t>
  </si>
  <si>
    <t>&lt;src [10.246.59.122-22] dst [10.201.0.234-22] proto tcp dev E2-EH-AGN&gt; matches policy id: 8184</t>
  </si>
  <si>
    <t>FR-E2-FW-EH-1-FNET $ diagnose firewall iprope lookup 10.246.59.134 22 10.201.0.234 22 tcp E2-EH-AGN</t>
  </si>
  <si>
    <t>&lt;src [10.246.59.134-22] dst [10.201.0.234-22] proto tcp dev E2-EH-AGN&gt; matches policy id: 8184</t>
  </si>
  <si>
    <t>FR-E2-FW-EH-1-FNET $ diagnose firewall iprope lookup 10.246.59.173 22 10.201.0.234 22 tcp E2-EH-AGN</t>
  </si>
  <si>
    <t>&lt;src [10.246.59.173-22] dst [10.201.0.234-22] proto tcp dev E2-EH-AGN&gt; matches policy id: 8184</t>
  </si>
  <si>
    <t>FR-E2-FW-EH-1-FNET $ diagnose firewall iprope lookup 10.246.59.100 22 10.201.0.234 22 tcp E2-EH-AGN</t>
  </si>
  <si>
    <t>&lt;src [10.246.59.100-22] dst [10.201.0.234-22] proto tcp dev E2-EH-AGN&gt; matches policy id: 8184</t>
  </si>
  <si>
    <t>FR-E2-FW-EH-1-FNET $ diagnose firewall iprope lookup 10.246.59.248 22 10.201.0.234 22 tcp E2-EH-AGN</t>
  </si>
  <si>
    <t>&lt;src [10.246.59.248-22] dst [10.201.0.234-22] proto tcp dev E2-EH-AGN&gt; matches policy id: 8184</t>
  </si>
  <si>
    <t>FR-E2-FW-EH-1-FNET $ diagnose firewall iprope lookup 10.246.59.40 22 10.201.0.234 22 tcp E2-EH-AGN</t>
  </si>
  <si>
    <t>&lt;src [10.246.59.40-22] dst [10.201.0.234-22] proto tcp dev E2-EH-AGN&gt; matches policy id: 8184</t>
  </si>
  <si>
    <t>FR-E2-FW-EH-1-FNET $ diagnose firewall iprope lookup 10.246.59.118 22 10.201.0.234 22 tcp E2-EH-AGN</t>
  </si>
  <si>
    <t>&lt;src [10.246.59.118-22] dst [10.201.0.234-22] proto tcp dev E2-EH-AGN&gt; matches policy id: 8184</t>
  </si>
  <si>
    <t>FR-E2-FW-EH-1-FNET $ diagnose firewall iprope lookup 10.246.59.106 22 10.201.0.234 22 tcp E2-EH-AGN</t>
  </si>
  <si>
    <t>&lt;src [10.246.59.106-22] dst [10.201.0.234-22] proto tcp dev E2-EH-AGN&gt; matches policy id: 8184</t>
  </si>
  <si>
    <t>FR-E2-FW-EH-1-FNET $ diagnose firewall iprope lookup 10.246.59.85 22 10.201.0.234 22 tcp E2-EH-AGN</t>
  </si>
  <si>
    <t>&lt;src [10.246.59.85-22] dst [10.201.0.234-22] proto tcp dev E2-EH-AGN&gt; matches policy id: 8184</t>
  </si>
  <si>
    <t>FR-E2-FW-EH-1-FNET $ diagnose firewall iprope lookup 10.246.59.25 22 10.201.0.234 22 tcp E2-EH-AGN</t>
  </si>
  <si>
    <t>&lt;src [10.246.59.25-22] dst [10.201.0.234-22] proto tcp dev E2-EH-AGN&gt; matches policy id: 8184</t>
  </si>
  <si>
    <t>FR-E2-FW-EH-1-FNET $ diagnose firewall iprope lookup 10.246.59.48 22 10.201.0.234 22 tcp E2-EH-AGN</t>
  </si>
  <si>
    <t>&lt;src [10.246.59.48-22] dst [10.201.0.234-22] proto tcp dev E2-EH-AGN&gt; matches policy id: 8184</t>
  </si>
  <si>
    <t>FR-E2-FW-EH-1-FNET $ diagnose firewall iprope lookup 172.18.0.5 443 10.201.0.234 443 tcp E2-EH-PATHRU</t>
  </si>
  <si>
    <t>&lt;src [172.18.0.5-443] dst [10.201.0.234-443] proto tcp dev E2-EH-PATHRU&gt; matches policy id: 680</t>
  </si>
  <si>
    <t>FR-E2-FW-EH-1-FNET $ diagnose firewall iprope lookup 10.246.59.39 22 10.201.0.234 22 tcp E2-EH-AGN</t>
  </si>
  <si>
    <t>&lt;src [10.246.59.39-22] dst [10.201.0.234-22] proto tcp dev E2-EH-AGN&gt; matches policy id: 8184</t>
  </si>
  <si>
    <t>FR-E2-FW-EH-1-FNET $ diagnose firewall iprope lookup 10.246.59.68 22 10.201.0.234 22 tcp E2-EH-AGN</t>
  </si>
  <si>
    <t>&lt;src [10.246.59.68-22] dst [10.201.0.234-22] proto tcp dev E2-EH-AGN&gt; matches policy id: 8184</t>
  </si>
  <si>
    <t>FR-E2-FW-EH-1-FNET $ diagnose firewall iprope lookup 10.246.59.78 22 10.201.0.234 22 tcp E2-EH-AGN</t>
  </si>
  <si>
    <t>&lt;src [10.246.59.78-22] dst [10.201.0.234-22] proto tcp dev E2-EH-AGN&gt; matches policy id: 8184</t>
  </si>
  <si>
    <t>FR-E2-FW-EH-1-FNET $ diagnose firewall iprope lookup 10.246.59.112 22 10.201.0.234 22 tcp E2-EH-AGN</t>
  </si>
  <si>
    <t>&lt;src [10.246.59.112-22] dst [10.201.0.234-22] proto tcp dev E2-EH-AGN&gt; matches policy id: 8184</t>
  </si>
  <si>
    <t>FR-E2-FW-EH-1-FNET $ diagnose firewall iprope lookup 10.246.59.97 22 10.201.0.234 22 tcp E2-EH-AGN</t>
  </si>
  <si>
    <t>&lt;src [10.246.59.97-22] dst [10.201.0.234-22] proto tcp dev E2-EH-AGN&gt; matches policy id: 8184</t>
  </si>
  <si>
    <t>FR-E2-FW-EH-1-FNET $ diagnose firewall iprope lookup 10.246.59.160 22 10.201.0.234 22 tcp E2-EH-AGN</t>
  </si>
  <si>
    <t>&lt;src [10.246.59.160-22] dst [10.201.0.234-22] proto tcp dev E2-EH-AGN&gt; matches policy id: 8184</t>
  </si>
  <si>
    <t>FR-E2-FW-EH-1-FNET $ diagnose firewall iprope lookup 10.246.59.87 22 10.201.0.234 22 tcp E2-EH-AGN</t>
  </si>
  <si>
    <t>&lt;src [10.246.59.87-22] dst [10.201.0.234-22] proto tcp dev E2-EH-AGN&gt; matches policy id: 8184</t>
  </si>
  <si>
    <t>FR-E2-FW-EH-1-FNET $ diagnose firewall iprope lookup 10.246.59.12 22 10.201.0.234 22 tcp E2-EH-AGN</t>
  </si>
  <si>
    <t>&lt;src [10.246.59.12-22] dst [10.201.0.234-22] proto tcp dev E2-EH-AGN&gt; matches policy id: 8184</t>
  </si>
  <si>
    <t>FR-E2-FW-EH-1-FNET $ diagnose firewall iprope lookup 10.246.59.62 22 10.201.0.234 22 tcp E2-EH-AGN</t>
  </si>
  <si>
    <t>&lt;src [10.246.59.62-22] dst [10.201.0.234-22] proto tcp dev E2-EH-AGN&gt; matches policy id: 8184</t>
  </si>
  <si>
    <t>FR-E2-FW-EH-1-FNET $ diagnose firewall iprope lookup 10.246.59.218 22 10.201.0.234 22 tcp E2-EH-AGN</t>
  </si>
  <si>
    <t>&lt;src [10.246.59.218-22] dst [10.201.0.234-22] proto tcp dev E2-EH-AGN&gt; matches policy id: 8184</t>
  </si>
  <si>
    <t>FR-E2-FW-EH-1-FNET $ diagnose firewall iprope lookup 10.17.42.6 22 10.201.0.234 22 tcp E2-EH-AGN</t>
  </si>
  <si>
    <t>&lt;src [10.17.42.6-22] dst [10.201.0.234-22] proto tcp dev E2-EH-AGN&gt; matches policy id: 8870</t>
  </si>
  <si>
    <t>FR-E2-FW-EH-1-FNET $ diagnose firewall iprope lookup 10.246.59.49 22 10.201.0.234 22 tcp E2-EH-AGN</t>
  </si>
  <si>
    <t>&lt;src [10.246.59.49-22] dst [10.201.0.234-22] proto tcp dev E2-EH-AGN&gt; matches policy id: 8184</t>
  </si>
  <si>
    <t>FR-E2-FW-EH-1-FNET $ diagnose firewall iprope lookup 10.246.59.156 22 10.201.0.234 22 tcp E2-EH-AGN</t>
  </si>
  <si>
    <t>&lt;src [10.246.59.156-22] dst [10.201.0.234-22] proto tcp dev E2-EH-AGN&gt; matches policy id: 8184</t>
  </si>
  <si>
    <t>FR-E2-FW-EH-1-FNET $ diagnose firewall iprope lookup 10.246.59.119 22 10.201.0.234 22 tcp E2-EH-AGN</t>
  </si>
  <si>
    <t>&lt;src [10.246.59.119-22] dst [10.201.0.234-22] proto tcp dev E2-EH-AGN&gt; matches policy id: 8184</t>
  </si>
  <si>
    <t>FR-E2-FW-EH-1-FNET $ diagnose firewall iprope lookup 10.246.59.27 22 10.201.0.234 22 tcp E2-EH-AGN</t>
  </si>
  <si>
    <t>&lt;src [10.246.59.27-22] dst [10.201.0.234-22] proto tcp dev E2-EH-AGN&gt; matches policy id: 8184</t>
  </si>
  <si>
    <t>FR-E2-FW-EH-1-FNET $ diagnose firewall iprope lookup 10.246.59.15 22 10.201.0.234 22 tcp E2-EH-AGN</t>
  </si>
  <si>
    <t>&lt;src [10.246.59.15-22] dst [10.201.0.234-22] proto tcp dev E2-EH-AGN&gt; matches policy id: 8184</t>
  </si>
  <si>
    <t>FR-E2-FW-EH-1-FNET $ diagnose firewall iprope lookup 10.246.59.98 22 10.201.0.234 22 tcp E2-EH-AGN</t>
  </si>
  <si>
    <t>&lt;src [10.246.59.98-22] dst [10.201.0.234-22] proto tcp dev E2-EH-AGN&gt; matches policy id: 8184</t>
  </si>
  <si>
    <t>FR-E2-FW-EH-1-FNET $ diagnose firewall iprope lookup 10.246.59.18 22 10.201.0.234 22 tcp E2-EH-AGN</t>
  </si>
  <si>
    <t>&lt;src [10.246.59.18-22] dst [10.201.0.234-22] proto tcp dev E2-EH-AGN&gt; matches policy id: 8184</t>
  </si>
  <si>
    <t>FR-E2-FW-EH-1-FNET $ diagnose firewall iprope lookup 10.246.59.242 22 10.201.0.234 22 tcp E2-EH-AGN</t>
  </si>
  <si>
    <t>&lt;src [10.246.59.242-22] dst [10.201.0.234-22] proto tcp dev E2-EH-AGN&gt; matches policy id: 8184</t>
  </si>
  <si>
    <t>FR-E2-FW-EH-1-FNET $ diagnose firewall iprope lookup 10.246.59.191 22 10.201.0.234 22 tcp E2-EH-AGN</t>
  </si>
  <si>
    <t>&lt;src [10.246.59.191-22] dst [10.201.0.234-22] proto tcp dev E2-EH-AGN&gt; matches policy id: 8184</t>
  </si>
  <si>
    <t>FR-E2-FW-EH-1-FNET $ diagnose firewall iprope lookup 10.246.59.6 22 10.201.0.234 22 tcp E2-EH-AGN</t>
  </si>
  <si>
    <t>&lt;src [10.246.59.6-22] dst [10.201.0.234-22] proto tcp dev E2-EH-AGN&gt; matches policy id: 8184</t>
  </si>
  <si>
    <t>FR-E2-FW-EH-1-FNET $ diagnose firewall iprope lookup 10.246.59.35 22 10.201.0.234 22 tcp E2-EH-AGN</t>
  </si>
  <si>
    <t>&lt;src [10.246.59.35-22] dst [10.201.0.234-22] proto tcp dev E2-EH-AGN&gt; matches policy id: 8184</t>
  </si>
  <si>
    <t>FR-E2-FW-EH-1-FNET $ diagnose firewall iprope lookup 10.246.59.45 22 10.201.0.234 22 tcp E2-EH-AGN</t>
  </si>
  <si>
    <t>&lt;src [10.246.59.45-22] dst [10.201.0.234-22] proto tcp dev E2-EH-AGN&gt; matches policy id: 8184</t>
  </si>
  <si>
    <t>FR-E2-FW-EH-1-FNET $ diagnose firewall iprope lookup 10.246.59.210 22 10.201.0.234 22 tcp E2-EH-AGN</t>
  </si>
  <si>
    <t>&lt;src [10.246.59.210-22] dst [10.201.0.234-22] proto tcp dev E2-EH-AGN&gt; matches policy id: 8184</t>
  </si>
  <si>
    <t>FR-E2-FW-EH-1-FNET $ diagnose firewall iprope lookup 10.246.59.192 22 10.201.0.234 22 tcp E2-EH-AGN</t>
  </si>
  <si>
    <t>&lt;src [10.246.59.192-22] dst [10.201.0.234-22] proto tcp dev E2-EH-AGN&gt; matches policy id: 8184</t>
  </si>
  <si>
    <t>FR-E2-FW-EH-1-FNET $ diagnose firewall iprope lookup 10.246.59.238 22 10.201.0.234 22 tcp E2-EH-AGN</t>
  </si>
  <si>
    <t>&lt;src [10.246.59.238-22] dst [10.201.0.234-22] proto tcp dev E2-EH-AGN&gt; matches policy id: 8184</t>
  </si>
  <si>
    <t>FR-E2-FW-EH-1-FNET $ diagnose firewall iprope lookup 10.246.59.244 22 10.201.0.234 22 tcp E2-EH-AGN</t>
  </si>
  <si>
    <t>&lt;src [10.246.59.244-22] dst [10.201.0.234-22] proto tcp dev E2-EH-AGN&gt; matches policy id: 8184</t>
  </si>
  <si>
    <t>FR-E2-FW-EH-1-FNET $ diagnose firewall iprope lookup 10.246.59.14 22 10.201.0.234 22 tcp E2-EH-AGN</t>
  </si>
  <si>
    <t>&lt;src [10.246.59.14-22] dst [10.201.0.234-22] proto tcp dev E2-EH-AGN&gt; matches policy id: 8184</t>
  </si>
  <si>
    <t>FR-E2-FW-EH-1-FNET $ diagnose firewall iprope lookup 10.246.59.5 22 10.201.0.234 22 tcp E2-EH-AGN</t>
  </si>
  <si>
    <t>&lt;src [10.246.59.5-22] dst [10.201.0.234-22] proto tcp dev E2-EH-AGN&gt; matches policy id: 8184</t>
  </si>
  <si>
    <t>FR-E2-FW-EH-1-FNET $ diagnose firewall iprope lookup 10.246.59.141 22 10.201.0.234 22 tcp E2-EH-AGN</t>
  </si>
  <si>
    <t>&lt;src [10.246.59.141-22] dst [10.201.0.234-22] proto tcp dev E2-EH-AGN&gt; matches policy id: 8184</t>
  </si>
  <si>
    <t>FR-E2-FW-EH-1-FNET $ diagnose firewall iprope lookup 10.246.59.137 22 10.201.0.234 22 tcp E2-EH-AGN</t>
  </si>
  <si>
    <t>&lt;src [10.246.59.137-22] dst [10.201.0.234-22] proto tcp dev E2-EH-AGN&gt; matches policy id: 8184</t>
  </si>
  <si>
    <t>FR-E2-FW-EH-1-FNET $ diagnose firewall iprope lookup 10.246.59.205 22 10.201.0.234 22 tcp E2-EH-AGN</t>
  </si>
  <si>
    <t>&lt;src [10.246.59.205-22] dst [10.201.0.234-22] proto tcp dev E2-EH-AGN&gt; matches policy id: 8184</t>
  </si>
  <si>
    <t>FR-E2-FW-EH-1-FNET $ diagnose firewall iprope lookup 10.246.59.60 22 10.201.0.234 22 tcp E2-EH-AGN</t>
  </si>
  <si>
    <t>&lt;src [10.246.59.60-22] dst [10.201.0.234-22] proto tcp dev E2-EH-AGN&gt; matches policy id: 8184</t>
  </si>
  <si>
    <t>FR-E2-FW-EH-1-FNET $ diagnose firewall iprope lookup 10.246.59.230 22 10.201.0.234 22 tcp E2-EH-AGN</t>
  </si>
  <si>
    <t>&lt;src [10.246.59.230-22] dst [10.201.0.234-22] proto tcp dev E2-EH-AGN&gt; matches policy id: 8184</t>
  </si>
  <si>
    <t>FR-E2-FW-EH-1-FNET $ diagnose firewall iprope lookup 10.246.59.150 22 10.201.0.234 22 tcp E2-EH-AGN</t>
  </si>
  <si>
    <t>&lt;src [10.246.59.150-22] dst [10.201.0.234-22] proto tcp dev E2-EH-AGN&gt; matches policy id: 8184</t>
  </si>
  <si>
    <t>FR-E2-FW-EH-1-FNET $ diagnose firewall iprope lookup 10.246.59.208 22 10.201.0.234 22 tcp E2-EH-AGN</t>
  </si>
  <si>
    <t>&lt;src [10.246.59.208-22] dst [10.201.0.234-22] proto tcp dev E2-EH-AGN&gt; matches policy id: 8184</t>
  </si>
  <si>
    <t>FR-E2-FW-EH-1-FNET $ diagnose firewall iprope lookup 10.246.59.34 22 10.201.0.234 22 tcp E2-EH-AGN</t>
  </si>
  <si>
    <t>&lt;src [10.246.59.34-22] dst [10.201.0.234-22] proto tcp dev E2-EH-AGN&gt; matches policy id: 8184</t>
  </si>
  <si>
    <t>FR-E2-FW-EH-1-FNET $ diagnose firewall iprope lookup 10.246.59.69 22 10.201.0.234 22 tcp E2-EH-AGN</t>
  </si>
  <si>
    <t>&lt;src [10.246.59.69-22] dst [10.201.0.234-22] proto tcp dev E2-EH-AGN&gt; matches policy id: 8184</t>
  </si>
  <si>
    <t>FR-E2-FW-EH-1-FNET $ diagnose firewall iprope lookup 10.246.59.246 22 10.201.0.234 22 tcp E2-EH-AGN</t>
  </si>
  <si>
    <t>&lt;src [10.246.59.246-22] dst [10.201.0.234-22] proto tcp dev E2-EH-AGN&gt; matches policy id: 8184</t>
  </si>
  <si>
    <t>FR-E2-FW-EH-1-FNET $ diagnose firewall iprope lookup 10.246.59.30 22 10.201.0.234 22 tcp E2-EH-AGN</t>
  </si>
  <si>
    <t>&lt;src [10.246.59.30-22] dst [10.201.0.234-22] proto tcp dev E2-EH-AGN&gt; matches policy id: 8184</t>
  </si>
  <si>
    <t>FR-E2-FW-EH-1-FNET $ diagnose firewall iprope lookup 10.246.59.166 22 10.201.0.234 22 tcp E2-EH-AGN</t>
  </si>
  <si>
    <t>&lt;src [10.246.59.166-22] dst [10.201.0.234-22] proto tcp dev E2-EH-AGN&gt; matches policy id: 8184</t>
  </si>
  <si>
    <t>FR-E2-FW-EH-1-FNET $ diagnose firewall iprope lookup 10.246.59.89 22 10.201.0.234 22 tcp E2-EH-AGN</t>
  </si>
  <si>
    <t>&lt;src [10.246.59.89-22] dst [10.201.0.234-22] proto tcp dev E2-EH-AGN&gt; matches policy id: 8184</t>
  </si>
  <si>
    <t>FR-E2-FW-EH-1-FNET $ diagnose firewall iprope lookup 10.246.59.154 22 10.201.0.234 22 tcp E2-EH-AGN</t>
  </si>
  <si>
    <t>&lt;src [10.246.59.154-22] dst [10.201.0.234-22] proto tcp dev E2-EH-AGN&gt; matches policy id: 8184</t>
  </si>
  <si>
    <t>FR-E2-FW-EH-1-FNET $ diagnose firewall iprope lookup 10.246.59.63 22 10.201.0.234 22 tcp E2-EH-AGN</t>
  </si>
  <si>
    <t>&lt;src [10.246.59.63-22] dst [10.201.0.234-22] proto tcp dev E2-EH-AGN&gt; matches policy id: 8184</t>
  </si>
  <si>
    <t>FR-E2-FW-EH-1-FNET $ diagnose firewall iprope lookup 10.246.59.162 22 10.201.0.234 22 tcp E2-EH-AGN</t>
  </si>
  <si>
    <t>&lt;src [10.246.59.162-22] dst [10.201.0.234-22] proto tcp dev E2-EH-AGN&gt; matches policy id: 8184</t>
  </si>
  <si>
    <t>FR-E2-FW-EH-1-FNET $ diagnose firewall iprope lookup 10.246.59.153 22 10.201.0.234 22 tcp E2-EH-AGN</t>
  </si>
  <si>
    <t>&lt;src [10.246.59.153-22] dst [10.201.0.234-22] proto tcp dev E2-EH-AGN&gt; matches policy id: 8184</t>
  </si>
  <si>
    <t>FR-E2-FW-EH-1-FNET $ diagnose firewall iprope lookup 10.246.59.32 22 10.201.0.234 22 tcp E2-EH-AGN</t>
  </si>
  <si>
    <t>&lt;src [10.246.59.32-22] dst [10.201.0.234-22] proto tcp dev E2-EH-AGN&gt; matches policy id: 8184</t>
  </si>
  <si>
    <t>FR-E2-FW-EH-1-FNET $ diagnose firewall iprope lookup 10.222.210.161 22 10.201.0.234 22 tcp E2-EH-VPN</t>
  </si>
  <si>
    <t>&lt;src [10.222.210.161-22] dst [10.201.0.234-22] proto tcp dev E2-EH-VPN&gt; matches policy id: 5189</t>
  </si>
  <si>
    <t>FR-E2-FW-EH-1-FNET $ diagnose firewall iprope lookup 10.246.59.108 22 10.201.0.234 22 tcp E2-EH-AGN</t>
  </si>
  <si>
    <t>&lt;src [10.246.59.108-22] dst [10.201.0.234-22] proto tcp dev E2-EH-AGN&gt; matches policy id: 8184</t>
  </si>
  <si>
    <t>FR-E2-FW-EH-1-FNET $ diagnose firewall iprope lookup 10.246.59.10 22 10.201.0.234 22 tcp E2-EH-AGN</t>
  </si>
  <si>
    <t>&lt;src [10.246.59.10-22] dst [10.201.0.234-22] proto tcp dev E2-EH-AGN&gt; matches policy id: 8184</t>
  </si>
  <si>
    <t>FR-E2-FW-EH-1-FNET $ diagnose firewall iprope lookup 10.246.59.220 22 10.201.0.234 22 tcp E2-EH-AGN</t>
  </si>
  <si>
    <t>&lt;src [10.246.59.220-22] dst [10.201.0.234-22] proto tcp dev E2-EH-AGN&gt; matches policy id: 8184</t>
  </si>
  <si>
    <t>FR-E2-FW-EH-1-FNET $ diagnose firewall iprope lookup 10.246.59.53 22 10.201.0.234 22 tcp E2-EH-AGN</t>
  </si>
  <si>
    <t>&lt;src [10.246.59.53-22] dst [10.201.0.234-22] proto tcp dev E2-EH-AGN&gt; matches policy id: 8184</t>
  </si>
  <si>
    <t>FR-E2-FW-EH-1-FNET $ diagnose firewall iprope lookup 10.246.59.233 22 10.201.0.234 22 tcp E2-EH-AGN</t>
  </si>
  <si>
    <t>&lt;src [10.246.59.233-22] dst [10.201.0.234-22] proto tcp dev E2-EH-AGN&gt; matches policy id: 8184</t>
  </si>
  <si>
    <t>FR-E2-FW-EH-1-FNET $ diagnose firewall iprope lookup 10.246.59.172 22 10.201.0.234 22 tcp E2-EH-AGN</t>
  </si>
  <si>
    <t>&lt;src [10.246.59.172-22] dst [10.201.0.234-22] proto tcp dev E2-EH-AGN&gt; matches policy id: 8184</t>
  </si>
  <si>
    <t>FR-E2-FW-EH-1-FNET $ diagnose firewall iprope lookup 10.246.59.247 22 10.201.0.234 22 tcp E2-EH-AGN</t>
  </si>
  <si>
    <t>&lt;src [10.246.59.247-22] dst [10.201.0.234-22] proto tcp dev E2-EH-AGN&gt; matches policy id: 8184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</si>
</sst>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rial"/>
      <family val="2"/>
    </font>
    <font>
      <sz val="11"/>
      <color theme="1"/>
      <name val="Arial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1"/>
      <color rgb="FF006100"/>
      <name val="Arial"/>
      <family val="2"/>
    </font>
    <font>
      <sz val="11"/>
      <color rgb="FF9C0006"/>
      <name val="Arial"/>
      <family val="2"/>
    </font>
    <font>
      <sz val="11"/>
      <color rgb="FF9C5700"/>
      <name val="Arial"/>
      <family val="2"/>
    </font>
    <font>
      <sz val="11"/>
      <color rgb="FF3F3F76"/>
      <name val="Arial"/>
      <family val="2"/>
    </font>
    <font>
      <b/>
      <sz val="11"/>
      <color rgb="FF3F3F3F"/>
      <name val="Arial"/>
      <family val="2"/>
    </font>
    <font>
      <b/>
      <sz val="11"/>
      <color rgb="FFFA7D00"/>
      <name val="Arial"/>
      <family val="2"/>
    </font>
    <font>
      <sz val="11"/>
      <color rgb="FFFA7D00"/>
      <name val="Arial"/>
      <family val="2"/>
    </font>
    <font>
      <b/>
      <sz val="11"/>
      <color theme="0"/>
      <name val="Arial"/>
      <family val="2"/>
    </font>
    <font>
      <sz val="11"/>
      <color rgb="FFFF0000"/>
      <name val="Arial"/>
      <family val="2"/>
    </font>
    <font>
      <i/>
      <sz val="11"/>
      <color rgb="FF7F7F7F"/>
      <name val="Arial"/>
      <family val="2"/>
    </font>
    <font>
      <b/>
      <sz val="11"/>
      <color theme="1"/>
      <name val="Arial"/>
      <family val="2"/>
    </font>
    <font>
      <sz val="11"/>
      <color theme="0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1F84B1-B6A8-4598-8A38-8E2DD038CC73}">
  <dimension ref="A1:Q101"/>
  <sheetViews>
    <sheetView tabSelected="1" topLeftCell="O1" workbookViewId="0">
      <selection activeCell="Q1" sqref="Q1"/>
    </sheetView>
  </sheetViews>
  <sheetFormatPr defaultRowHeight="14" x14ac:dyDescent="0.3"/>
  <cols>
    <col min="1" max="1" width="13.25" bestFit="1" customWidth="1"/>
    <col min="2" max="2" width="6.5" bestFit="1" customWidth="1"/>
    <col min="3" max="3" width="12.6640625" bestFit="1" customWidth="1"/>
    <col min="4" max="4" width="49.58203125" bestFit="1" customWidth="1"/>
    <col min="5" max="5" width="15.83203125" bestFit="1" customWidth="1"/>
    <col min="6" max="6" width="8" bestFit="1" customWidth="1"/>
    <col min="7" max="7" width="10.75" bestFit="1" customWidth="1"/>
    <col min="8" max="8" width="24.75" bestFit="1" customWidth="1"/>
    <col min="9" max="9" width="7.33203125" bestFit="1" customWidth="1"/>
    <col min="11" max="11" width="6.5" bestFit="1" customWidth="1"/>
    <col min="12" max="12" width="7.83203125" bestFit="1" customWidth="1"/>
    <col min="13" max="13" width="28.25" bestFit="1" customWidth="1"/>
    <col min="14" max="14" width="49.75" bestFit="1" customWidth="1"/>
    <col min="15" max="15" width="25.75" bestFit="1" customWidth="1"/>
    <col min="16" max="16" width="25.75" customWidth="1"/>
    <col min="17" max="17" width="77.25" bestFit="1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313</v>
      </c>
      <c r="N1" t="s">
        <v>313</v>
      </c>
      <c r="O1" t="s">
        <v>313</v>
      </c>
      <c r="P1" t="s">
        <v>319</v>
      </c>
      <c r="Q1" t="s">
        <v>313</v>
      </c>
    </row>
    <row r="2" spans="1:17" x14ac:dyDescent="0.3">
      <c r="A2" t="s">
        <v>12</v>
      </c>
      <c r="B2" t="s">
        <v>13</v>
      </c>
      <c r="C2" t="s">
        <v>14</v>
      </c>
      <c r="D2" t="s">
        <v>15</v>
      </c>
      <c r="E2" s="1" t="s">
        <v>215</v>
      </c>
      <c r="I2" t="s">
        <v>16</v>
      </c>
      <c r="J2">
        <v>443</v>
      </c>
      <c r="K2">
        <v>443</v>
      </c>
      <c r="M2" t="s">
        <v>314</v>
      </c>
      <c r="N2" t="str">
        <f>_xlfn.CONCAT(M2," ",E2, " | grep -f *")</f>
        <v>get router info routing-table details 172.18.0.9 | grep -f *</v>
      </c>
      <c r="O2" t="s">
        <v>315</v>
      </c>
      <c r="P2" t="s">
        <v>316</v>
      </c>
      <c r="Q2" t="str">
        <f>_xlfn.CONCAT(O2," ",E2," ",J2," 10.201.0.234 ",K2, " tcp ",P2,"")</f>
        <v>diagnose firewall iprope lookup 172.18.0.9 443 10.201.0.234 443 tcp E2-EH-PATHRU</v>
      </c>
    </row>
    <row r="3" spans="1:17" x14ac:dyDescent="0.3">
      <c r="A3" t="s">
        <v>12</v>
      </c>
      <c r="B3" t="s">
        <v>13</v>
      </c>
      <c r="C3" t="s">
        <v>17</v>
      </c>
      <c r="D3" t="s">
        <v>18</v>
      </c>
      <c r="E3" s="1" t="s">
        <v>215</v>
      </c>
      <c r="I3" t="s">
        <v>16</v>
      </c>
      <c r="J3">
        <v>49152</v>
      </c>
      <c r="K3">
        <v>65535</v>
      </c>
      <c r="M3" t="s">
        <v>314</v>
      </c>
      <c r="N3" t="str">
        <f t="shared" ref="N3:N66" si="0">_xlfn.CONCAT(M3," ",E3, " | grep -f *")</f>
        <v>get router info routing-table details 172.18.0.9 | grep -f *</v>
      </c>
      <c r="O3" t="s">
        <v>315</v>
      </c>
      <c r="P3" t="s">
        <v>316</v>
      </c>
      <c r="Q3" t="str">
        <f t="shared" ref="Q3:Q66" si="1">_xlfn.CONCAT(O3," ",E3," ",J3," 10.201.0.234 ",K3, " tcp ",P3,"")</f>
        <v>diagnose firewall iprope lookup 172.18.0.9 49152 10.201.0.234 65535 tcp E2-EH-PATHRU</v>
      </c>
    </row>
    <row r="4" spans="1:17" x14ac:dyDescent="0.3">
      <c r="A4" t="s">
        <v>12</v>
      </c>
      <c r="B4" t="s">
        <v>13</v>
      </c>
      <c r="C4" t="s">
        <v>19</v>
      </c>
      <c r="D4" t="s">
        <v>20</v>
      </c>
      <c r="E4" s="1" t="s">
        <v>216</v>
      </c>
      <c r="I4" t="s">
        <v>16</v>
      </c>
      <c r="J4">
        <v>443</v>
      </c>
      <c r="K4">
        <v>443</v>
      </c>
      <c r="M4" t="s">
        <v>314</v>
      </c>
      <c r="N4" t="str">
        <f t="shared" si="0"/>
        <v>get router info routing-table details 172.18.0.4 | grep -f *</v>
      </c>
      <c r="O4" t="s">
        <v>315</v>
      </c>
      <c r="P4" t="s">
        <v>316</v>
      </c>
      <c r="Q4" t="str">
        <f t="shared" si="1"/>
        <v>diagnose firewall iprope lookup 172.18.0.4 443 10.201.0.234 443 tcp E2-EH-PATHRU</v>
      </c>
    </row>
    <row r="5" spans="1:17" x14ac:dyDescent="0.3">
      <c r="A5" t="s">
        <v>12</v>
      </c>
      <c r="B5" t="s">
        <v>13</v>
      </c>
      <c r="C5" t="s">
        <v>21</v>
      </c>
      <c r="D5" t="s">
        <v>22</v>
      </c>
      <c r="E5" t="s">
        <v>217</v>
      </c>
      <c r="I5" t="s">
        <v>16</v>
      </c>
      <c r="J5">
        <v>22</v>
      </c>
      <c r="K5">
        <v>22</v>
      </c>
      <c r="M5" t="s">
        <v>314</v>
      </c>
      <c r="N5" t="str">
        <f t="shared" si="0"/>
        <v>get router info routing-table details 10.246.59.253 | grep -f *</v>
      </c>
      <c r="O5" t="s">
        <v>315</v>
      </c>
      <c r="P5" t="s">
        <v>317</v>
      </c>
      <c r="Q5" t="str">
        <f t="shared" si="1"/>
        <v>diagnose firewall iprope lookup 10.246.59.253 22 10.201.0.234 22 tcp E2-EH-AGN</v>
      </c>
    </row>
    <row r="6" spans="1:17" x14ac:dyDescent="0.3">
      <c r="A6" t="s">
        <v>12</v>
      </c>
      <c r="B6" t="s">
        <v>13</v>
      </c>
      <c r="C6" t="s">
        <v>23</v>
      </c>
      <c r="D6" t="s">
        <v>24</v>
      </c>
      <c r="E6" t="s">
        <v>218</v>
      </c>
      <c r="I6" t="s">
        <v>16</v>
      </c>
      <c r="J6">
        <v>22</v>
      </c>
      <c r="K6">
        <v>22</v>
      </c>
      <c r="M6" t="s">
        <v>314</v>
      </c>
      <c r="N6" t="str">
        <f t="shared" si="0"/>
        <v>get router info routing-table details 10.199.99.217 | grep -f *</v>
      </c>
      <c r="O6" t="s">
        <v>315</v>
      </c>
      <c r="P6" t="s">
        <v>317</v>
      </c>
      <c r="Q6" t="str">
        <f t="shared" si="1"/>
        <v>diagnose firewall iprope lookup 10.199.99.217 22 10.201.0.234 22 tcp E2-EH-AGN</v>
      </c>
    </row>
    <row r="7" spans="1:17" x14ac:dyDescent="0.3">
      <c r="A7" t="s">
        <v>12</v>
      </c>
      <c r="B7" t="s">
        <v>13</v>
      </c>
      <c r="C7" t="s">
        <v>25</v>
      </c>
      <c r="D7" t="s">
        <v>26</v>
      </c>
      <c r="E7" s="1" t="s">
        <v>219</v>
      </c>
      <c r="I7" t="s">
        <v>16</v>
      </c>
      <c r="J7">
        <v>443</v>
      </c>
      <c r="K7">
        <v>443</v>
      </c>
      <c r="M7" t="s">
        <v>314</v>
      </c>
      <c r="N7" t="str">
        <f t="shared" si="0"/>
        <v>get router info routing-table details 172.18.0.7 | grep -f *</v>
      </c>
      <c r="O7" t="s">
        <v>315</v>
      </c>
      <c r="P7" t="s">
        <v>316</v>
      </c>
      <c r="Q7" t="str">
        <f t="shared" si="1"/>
        <v>diagnose firewall iprope lookup 172.18.0.7 443 10.201.0.234 443 tcp E2-EH-PATHRU</v>
      </c>
    </row>
    <row r="8" spans="1:17" x14ac:dyDescent="0.3">
      <c r="A8" t="s">
        <v>12</v>
      </c>
      <c r="B8" t="s">
        <v>13</v>
      </c>
      <c r="C8" t="s">
        <v>27</v>
      </c>
      <c r="D8" t="s">
        <v>28</v>
      </c>
      <c r="E8" s="1" t="s">
        <v>220</v>
      </c>
      <c r="I8" t="s">
        <v>16</v>
      </c>
      <c r="J8">
        <v>443</v>
      </c>
      <c r="K8">
        <v>443</v>
      </c>
      <c r="M8" t="s">
        <v>314</v>
      </c>
      <c r="N8" t="str">
        <f t="shared" si="0"/>
        <v>get router info routing-table details 172.18.0.10 | grep -f *</v>
      </c>
      <c r="O8" t="s">
        <v>315</v>
      </c>
      <c r="P8" t="s">
        <v>316</v>
      </c>
      <c r="Q8" t="str">
        <f t="shared" si="1"/>
        <v>diagnose firewall iprope lookup 172.18.0.10 443 10.201.0.234 443 tcp E2-EH-PATHRU</v>
      </c>
    </row>
    <row r="9" spans="1:17" x14ac:dyDescent="0.3">
      <c r="A9" t="s">
        <v>12</v>
      </c>
      <c r="B9" t="s">
        <v>13</v>
      </c>
      <c r="C9" t="s">
        <v>29</v>
      </c>
      <c r="D9" t="s">
        <v>30</v>
      </c>
      <c r="E9" s="1" t="s">
        <v>220</v>
      </c>
      <c r="I9" t="s">
        <v>16</v>
      </c>
      <c r="J9">
        <v>49152</v>
      </c>
      <c r="K9">
        <v>65535</v>
      </c>
      <c r="M9" t="s">
        <v>314</v>
      </c>
      <c r="N9" t="str">
        <f t="shared" si="0"/>
        <v>get router info routing-table details 172.18.0.10 | grep -f *</v>
      </c>
      <c r="O9" t="s">
        <v>315</v>
      </c>
      <c r="P9" t="s">
        <v>316</v>
      </c>
      <c r="Q9" t="str">
        <f t="shared" si="1"/>
        <v>diagnose firewall iprope lookup 172.18.0.10 49152 10.201.0.234 65535 tcp E2-EH-PATHRU</v>
      </c>
    </row>
    <row r="10" spans="1:17" x14ac:dyDescent="0.3">
      <c r="A10" t="s">
        <v>12</v>
      </c>
      <c r="B10" t="s">
        <v>13</v>
      </c>
      <c r="C10" t="s">
        <v>31</v>
      </c>
      <c r="D10" t="s">
        <v>32</v>
      </c>
      <c r="E10" s="1" t="s">
        <v>221</v>
      </c>
      <c r="I10" t="s">
        <v>16</v>
      </c>
      <c r="J10">
        <v>443</v>
      </c>
      <c r="K10">
        <v>443</v>
      </c>
      <c r="M10" t="s">
        <v>314</v>
      </c>
      <c r="N10" t="str">
        <f t="shared" si="0"/>
        <v>get router info routing-table details 172.18.0.6 | grep -f *</v>
      </c>
      <c r="O10" t="s">
        <v>315</v>
      </c>
      <c r="P10" t="s">
        <v>316</v>
      </c>
      <c r="Q10" t="str">
        <f t="shared" si="1"/>
        <v>diagnose firewall iprope lookup 172.18.0.6 443 10.201.0.234 443 tcp E2-EH-PATHRU</v>
      </c>
    </row>
    <row r="11" spans="1:17" x14ac:dyDescent="0.3">
      <c r="A11" t="s">
        <v>12</v>
      </c>
      <c r="B11" t="s">
        <v>13</v>
      </c>
      <c r="C11" t="s">
        <v>33</v>
      </c>
      <c r="D11" t="s">
        <v>34</v>
      </c>
      <c r="E11" t="s">
        <v>222</v>
      </c>
      <c r="I11" t="s">
        <v>16</v>
      </c>
      <c r="J11">
        <v>22</v>
      </c>
      <c r="K11">
        <v>22</v>
      </c>
      <c r="M11" t="s">
        <v>314</v>
      </c>
      <c r="N11" t="str">
        <f t="shared" si="0"/>
        <v>get router info routing-table details 10.246.59.241 | grep -f *</v>
      </c>
      <c r="O11" t="s">
        <v>315</v>
      </c>
      <c r="P11" t="s">
        <v>317</v>
      </c>
      <c r="Q11" t="str">
        <f t="shared" si="1"/>
        <v>diagnose firewall iprope lookup 10.246.59.241 22 10.201.0.234 22 tcp E2-EH-AGN</v>
      </c>
    </row>
    <row r="12" spans="1:17" x14ac:dyDescent="0.3">
      <c r="A12" t="s">
        <v>12</v>
      </c>
      <c r="B12" t="s">
        <v>13</v>
      </c>
      <c r="C12" t="s">
        <v>35</v>
      </c>
      <c r="D12" t="s">
        <v>36</v>
      </c>
      <c r="E12" t="s">
        <v>223</v>
      </c>
      <c r="I12" t="s">
        <v>16</v>
      </c>
      <c r="J12">
        <v>22</v>
      </c>
      <c r="K12">
        <v>22</v>
      </c>
      <c r="M12" t="s">
        <v>314</v>
      </c>
      <c r="N12" t="str">
        <f t="shared" si="0"/>
        <v>get router info routing-table details 10.246.59.104 | grep -f *</v>
      </c>
      <c r="O12" t="s">
        <v>315</v>
      </c>
      <c r="P12" t="s">
        <v>317</v>
      </c>
      <c r="Q12" t="str">
        <f t="shared" si="1"/>
        <v>diagnose firewall iprope lookup 10.246.59.104 22 10.201.0.234 22 tcp E2-EH-AGN</v>
      </c>
    </row>
    <row r="13" spans="1:17" x14ac:dyDescent="0.3">
      <c r="A13" t="s">
        <v>12</v>
      </c>
      <c r="B13" t="s">
        <v>13</v>
      </c>
      <c r="C13" t="s">
        <v>37</v>
      </c>
      <c r="D13" t="s">
        <v>38</v>
      </c>
      <c r="E13" t="s">
        <v>224</v>
      </c>
      <c r="I13" t="s">
        <v>16</v>
      </c>
      <c r="J13">
        <v>22</v>
      </c>
      <c r="K13">
        <v>22</v>
      </c>
      <c r="M13" t="s">
        <v>314</v>
      </c>
      <c r="N13" t="str">
        <f t="shared" si="0"/>
        <v>get router info routing-table details 10.199.99.150 | grep -f *</v>
      </c>
      <c r="O13" t="s">
        <v>315</v>
      </c>
      <c r="P13" t="s">
        <v>317</v>
      </c>
      <c r="Q13" t="str">
        <f t="shared" si="1"/>
        <v>diagnose firewall iprope lookup 10.199.99.150 22 10.201.0.234 22 tcp E2-EH-AGN</v>
      </c>
    </row>
    <row r="14" spans="1:17" x14ac:dyDescent="0.3">
      <c r="A14" t="s">
        <v>12</v>
      </c>
      <c r="B14" t="s">
        <v>13</v>
      </c>
      <c r="C14" t="s">
        <v>39</v>
      </c>
      <c r="D14" t="s">
        <v>40</v>
      </c>
      <c r="E14" t="s">
        <v>225</v>
      </c>
      <c r="I14" t="s">
        <v>16</v>
      </c>
      <c r="J14">
        <v>22</v>
      </c>
      <c r="K14">
        <v>22</v>
      </c>
      <c r="M14" t="s">
        <v>314</v>
      </c>
      <c r="N14" t="str">
        <f t="shared" si="0"/>
        <v>get router info routing-table details 10.246.59.92 | grep -f *</v>
      </c>
      <c r="O14" t="s">
        <v>315</v>
      </c>
      <c r="P14" t="s">
        <v>317</v>
      </c>
      <c r="Q14" t="str">
        <f t="shared" si="1"/>
        <v>diagnose firewall iprope lookup 10.246.59.92 22 10.201.0.234 22 tcp E2-EH-AGN</v>
      </c>
    </row>
    <row r="15" spans="1:17" x14ac:dyDescent="0.3">
      <c r="A15" t="s">
        <v>12</v>
      </c>
      <c r="B15" t="s">
        <v>13</v>
      </c>
      <c r="C15" t="s">
        <v>41</v>
      </c>
      <c r="D15" t="s">
        <v>42</v>
      </c>
      <c r="E15" t="s">
        <v>226</v>
      </c>
      <c r="I15" t="s">
        <v>16</v>
      </c>
      <c r="J15">
        <v>22</v>
      </c>
      <c r="K15">
        <v>22</v>
      </c>
      <c r="M15" t="s">
        <v>314</v>
      </c>
      <c r="N15" t="str">
        <f t="shared" si="0"/>
        <v>get router info routing-table details 10.246.59.23 | grep -f *</v>
      </c>
      <c r="O15" t="s">
        <v>315</v>
      </c>
      <c r="P15" t="s">
        <v>317</v>
      </c>
      <c r="Q15" t="str">
        <f t="shared" si="1"/>
        <v>diagnose firewall iprope lookup 10.246.59.23 22 10.201.0.234 22 tcp E2-EH-AGN</v>
      </c>
    </row>
    <row r="16" spans="1:17" x14ac:dyDescent="0.3">
      <c r="A16" t="s">
        <v>12</v>
      </c>
      <c r="B16" t="s">
        <v>13</v>
      </c>
      <c r="C16" t="s">
        <v>43</v>
      </c>
      <c r="D16" t="s">
        <v>44</v>
      </c>
      <c r="E16" t="s">
        <v>227</v>
      </c>
      <c r="I16" t="s">
        <v>16</v>
      </c>
      <c r="J16">
        <v>22</v>
      </c>
      <c r="K16">
        <v>22</v>
      </c>
      <c r="M16" t="s">
        <v>314</v>
      </c>
      <c r="N16" t="str">
        <f t="shared" si="0"/>
        <v>get router info routing-table details 10.246.59.41 | grep -f *</v>
      </c>
      <c r="O16" t="s">
        <v>315</v>
      </c>
      <c r="P16" t="s">
        <v>317</v>
      </c>
      <c r="Q16" t="str">
        <f t="shared" si="1"/>
        <v>diagnose firewall iprope lookup 10.246.59.41 22 10.201.0.234 22 tcp E2-EH-AGN</v>
      </c>
    </row>
    <row r="17" spans="1:17" x14ac:dyDescent="0.3">
      <c r="A17" t="s">
        <v>12</v>
      </c>
      <c r="B17" t="s">
        <v>13</v>
      </c>
      <c r="C17" t="s">
        <v>45</v>
      </c>
      <c r="D17" t="s">
        <v>46</v>
      </c>
      <c r="E17" t="s">
        <v>228</v>
      </c>
      <c r="I17" t="s">
        <v>16</v>
      </c>
      <c r="J17">
        <v>22</v>
      </c>
      <c r="K17">
        <v>22</v>
      </c>
      <c r="M17" t="s">
        <v>314</v>
      </c>
      <c r="N17" t="str">
        <f t="shared" si="0"/>
        <v>get router info routing-table details 10.199.99.40 | grep -f *</v>
      </c>
      <c r="O17" t="s">
        <v>315</v>
      </c>
      <c r="P17" t="s">
        <v>317</v>
      </c>
      <c r="Q17" t="str">
        <f t="shared" si="1"/>
        <v>diagnose firewall iprope lookup 10.199.99.40 22 10.201.0.234 22 tcp E2-EH-AGN</v>
      </c>
    </row>
    <row r="18" spans="1:17" x14ac:dyDescent="0.3">
      <c r="A18" t="s">
        <v>12</v>
      </c>
      <c r="B18" t="s">
        <v>13</v>
      </c>
      <c r="C18" t="s">
        <v>47</v>
      </c>
      <c r="D18" t="s">
        <v>48</v>
      </c>
      <c r="E18" t="s">
        <v>229</v>
      </c>
      <c r="I18" t="s">
        <v>16</v>
      </c>
      <c r="J18">
        <v>22</v>
      </c>
      <c r="K18">
        <v>22</v>
      </c>
      <c r="M18" t="s">
        <v>314</v>
      </c>
      <c r="N18" t="str">
        <f t="shared" si="0"/>
        <v>get router info routing-table details 10.246.59.212 | grep -f *</v>
      </c>
      <c r="O18" t="s">
        <v>315</v>
      </c>
      <c r="P18" t="s">
        <v>317</v>
      </c>
      <c r="Q18" t="str">
        <f t="shared" si="1"/>
        <v>diagnose firewall iprope lookup 10.246.59.212 22 10.201.0.234 22 tcp E2-EH-AGN</v>
      </c>
    </row>
    <row r="19" spans="1:17" x14ac:dyDescent="0.3">
      <c r="A19" t="s">
        <v>12</v>
      </c>
      <c r="B19" t="s">
        <v>13</v>
      </c>
      <c r="C19" t="s">
        <v>49</v>
      </c>
      <c r="D19" t="s">
        <v>50</v>
      </c>
      <c r="E19" t="s">
        <v>230</v>
      </c>
      <c r="I19" t="s">
        <v>16</v>
      </c>
      <c r="J19">
        <v>22</v>
      </c>
      <c r="K19">
        <v>22</v>
      </c>
      <c r="M19" t="s">
        <v>314</v>
      </c>
      <c r="N19" t="str">
        <f t="shared" si="0"/>
        <v>get router info routing-table details 10.246.59.114 | grep -f *</v>
      </c>
      <c r="O19" t="s">
        <v>315</v>
      </c>
      <c r="P19" t="s">
        <v>317</v>
      </c>
      <c r="Q19" t="str">
        <f t="shared" si="1"/>
        <v>diagnose firewall iprope lookup 10.246.59.114 22 10.201.0.234 22 tcp E2-EH-AGN</v>
      </c>
    </row>
    <row r="20" spans="1:17" x14ac:dyDescent="0.3">
      <c r="A20" t="s">
        <v>12</v>
      </c>
      <c r="B20" t="s">
        <v>13</v>
      </c>
      <c r="C20" t="s">
        <v>51</v>
      </c>
      <c r="D20" t="s">
        <v>52</v>
      </c>
      <c r="E20" t="s">
        <v>231</v>
      </c>
      <c r="I20" t="s">
        <v>16</v>
      </c>
      <c r="J20">
        <v>22</v>
      </c>
      <c r="K20">
        <v>22</v>
      </c>
      <c r="M20" t="s">
        <v>314</v>
      </c>
      <c r="N20" t="str">
        <f t="shared" si="0"/>
        <v>get router info routing-table details 10.246.59.103 | grep -f *</v>
      </c>
      <c r="O20" t="s">
        <v>315</v>
      </c>
      <c r="P20" t="s">
        <v>317</v>
      </c>
      <c r="Q20" t="str">
        <f t="shared" si="1"/>
        <v>diagnose firewall iprope lookup 10.246.59.103 22 10.201.0.234 22 tcp E2-EH-AGN</v>
      </c>
    </row>
    <row r="21" spans="1:17" x14ac:dyDescent="0.3">
      <c r="A21" t="s">
        <v>12</v>
      </c>
      <c r="B21" t="s">
        <v>13</v>
      </c>
      <c r="C21" t="s">
        <v>53</v>
      </c>
      <c r="D21" t="s">
        <v>54</v>
      </c>
      <c r="E21" t="s">
        <v>232</v>
      </c>
      <c r="I21" t="s">
        <v>16</v>
      </c>
      <c r="J21">
        <v>22</v>
      </c>
      <c r="K21">
        <v>22</v>
      </c>
      <c r="M21" t="s">
        <v>314</v>
      </c>
      <c r="N21" t="str">
        <f t="shared" si="0"/>
        <v>get router info routing-table details 10.246.59.7 | grep -f *</v>
      </c>
      <c r="O21" t="s">
        <v>315</v>
      </c>
      <c r="P21" t="s">
        <v>317</v>
      </c>
      <c r="Q21" t="str">
        <f t="shared" si="1"/>
        <v>diagnose firewall iprope lookup 10.246.59.7 22 10.201.0.234 22 tcp E2-EH-AGN</v>
      </c>
    </row>
    <row r="22" spans="1:17" x14ac:dyDescent="0.3">
      <c r="A22" t="s">
        <v>12</v>
      </c>
      <c r="B22" t="s">
        <v>13</v>
      </c>
      <c r="C22" t="s">
        <v>55</v>
      </c>
      <c r="D22" t="s">
        <v>56</v>
      </c>
      <c r="E22" t="s">
        <v>233</v>
      </c>
      <c r="I22" t="s">
        <v>16</v>
      </c>
      <c r="J22">
        <v>22</v>
      </c>
      <c r="K22">
        <v>22</v>
      </c>
      <c r="M22" t="s">
        <v>314</v>
      </c>
      <c r="N22" t="str">
        <f t="shared" si="0"/>
        <v>get router info routing-table details 10.246.59.28 | grep -f *</v>
      </c>
      <c r="O22" t="s">
        <v>315</v>
      </c>
      <c r="P22" t="s">
        <v>317</v>
      </c>
      <c r="Q22" t="str">
        <f t="shared" si="1"/>
        <v>diagnose firewall iprope lookup 10.246.59.28 22 10.201.0.234 22 tcp E2-EH-AGN</v>
      </c>
    </row>
    <row r="23" spans="1:17" x14ac:dyDescent="0.3">
      <c r="A23" t="s">
        <v>12</v>
      </c>
      <c r="B23" t="s">
        <v>13</v>
      </c>
      <c r="C23" t="s">
        <v>57</v>
      </c>
      <c r="D23" t="s">
        <v>58</v>
      </c>
      <c r="E23" t="s">
        <v>234</v>
      </c>
      <c r="I23" t="s">
        <v>16</v>
      </c>
      <c r="J23">
        <v>22</v>
      </c>
      <c r="K23">
        <v>22</v>
      </c>
      <c r="M23" t="s">
        <v>314</v>
      </c>
      <c r="N23" t="str">
        <f t="shared" si="0"/>
        <v>get router info routing-table details 10.246.59.224 | grep -f *</v>
      </c>
      <c r="O23" t="s">
        <v>315</v>
      </c>
      <c r="P23" t="s">
        <v>317</v>
      </c>
      <c r="Q23" t="str">
        <f t="shared" si="1"/>
        <v>diagnose firewall iprope lookup 10.246.59.224 22 10.201.0.234 22 tcp E2-EH-AGN</v>
      </c>
    </row>
    <row r="24" spans="1:17" x14ac:dyDescent="0.3">
      <c r="A24" t="s">
        <v>12</v>
      </c>
      <c r="B24" t="s">
        <v>13</v>
      </c>
      <c r="C24" t="s">
        <v>59</v>
      </c>
      <c r="D24" t="s">
        <v>60</v>
      </c>
      <c r="E24" s="1" t="s">
        <v>235</v>
      </c>
      <c r="I24" t="s">
        <v>16</v>
      </c>
      <c r="J24">
        <v>443</v>
      </c>
      <c r="K24">
        <v>443</v>
      </c>
      <c r="M24" t="s">
        <v>314</v>
      </c>
      <c r="N24" t="str">
        <f t="shared" si="0"/>
        <v>get router info routing-table details 172.18.0.11 | grep -f *</v>
      </c>
      <c r="O24" t="s">
        <v>315</v>
      </c>
      <c r="P24" t="s">
        <v>316</v>
      </c>
      <c r="Q24" t="str">
        <f t="shared" si="1"/>
        <v>diagnose firewall iprope lookup 172.18.0.11 443 10.201.0.234 443 tcp E2-EH-PATHRU</v>
      </c>
    </row>
    <row r="25" spans="1:17" x14ac:dyDescent="0.3">
      <c r="A25" t="s">
        <v>12</v>
      </c>
      <c r="B25" t="s">
        <v>13</v>
      </c>
      <c r="C25" t="s">
        <v>61</v>
      </c>
      <c r="D25" t="s">
        <v>62</v>
      </c>
      <c r="E25" t="s">
        <v>236</v>
      </c>
      <c r="I25" t="s">
        <v>16</v>
      </c>
      <c r="J25">
        <v>22</v>
      </c>
      <c r="K25">
        <v>22</v>
      </c>
      <c r="M25" t="s">
        <v>314</v>
      </c>
      <c r="N25" t="str">
        <f t="shared" si="0"/>
        <v>get router info routing-table details 10.246.59.161 | grep -f *</v>
      </c>
      <c r="O25" t="s">
        <v>315</v>
      </c>
      <c r="P25" t="s">
        <v>317</v>
      </c>
      <c r="Q25" t="str">
        <f t="shared" si="1"/>
        <v>diagnose firewall iprope lookup 10.246.59.161 22 10.201.0.234 22 tcp E2-EH-AGN</v>
      </c>
    </row>
    <row r="26" spans="1:17" x14ac:dyDescent="0.3">
      <c r="A26" t="s">
        <v>12</v>
      </c>
      <c r="B26" t="s">
        <v>13</v>
      </c>
      <c r="C26" t="s">
        <v>63</v>
      </c>
      <c r="D26" t="s">
        <v>64</v>
      </c>
      <c r="E26" t="s">
        <v>237</v>
      </c>
      <c r="I26" t="s">
        <v>16</v>
      </c>
      <c r="J26">
        <v>22</v>
      </c>
      <c r="K26">
        <v>22</v>
      </c>
      <c r="M26" t="s">
        <v>314</v>
      </c>
      <c r="N26" t="str">
        <f t="shared" si="0"/>
        <v>get router info routing-table details 10.246.59.117 | grep -f *</v>
      </c>
      <c r="O26" t="s">
        <v>315</v>
      </c>
      <c r="P26" t="s">
        <v>317</v>
      </c>
      <c r="Q26" t="str">
        <f t="shared" si="1"/>
        <v>diagnose firewall iprope lookup 10.246.59.117 22 10.201.0.234 22 tcp E2-EH-AGN</v>
      </c>
    </row>
    <row r="27" spans="1:17" x14ac:dyDescent="0.3">
      <c r="A27" t="s">
        <v>12</v>
      </c>
      <c r="B27" t="s">
        <v>13</v>
      </c>
      <c r="C27" t="s">
        <v>65</v>
      </c>
      <c r="D27" t="s">
        <v>66</v>
      </c>
      <c r="E27" t="s">
        <v>238</v>
      </c>
      <c r="I27" t="s">
        <v>16</v>
      </c>
      <c r="J27">
        <v>22</v>
      </c>
      <c r="K27">
        <v>22</v>
      </c>
      <c r="M27" t="s">
        <v>314</v>
      </c>
      <c r="N27" t="str">
        <f t="shared" si="0"/>
        <v>get router info routing-table details 10.246.59.175 | grep -f *</v>
      </c>
      <c r="O27" t="s">
        <v>315</v>
      </c>
      <c r="P27" t="s">
        <v>317</v>
      </c>
      <c r="Q27" t="str">
        <f t="shared" si="1"/>
        <v>diagnose firewall iprope lookup 10.246.59.175 22 10.201.0.234 22 tcp E2-EH-AGN</v>
      </c>
    </row>
    <row r="28" spans="1:17" x14ac:dyDescent="0.3">
      <c r="A28" t="s">
        <v>12</v>
      </c>
      <c r="B28" t="s">
        <v>13</v>
      </c>
      <c r="C28" t="s">
        <v>67</v>
      </c>
      <c r="D28" t="s">
        <v>68</v>
      </c>
      <c r="E28" t="s">
        <v>239</v>
      </c>
      <c r="I28" t="s">
        <v>16</v>
      </c>
      <c r="J28">
        <v>22</v>
      </c>
      <c r="K28">
        <v>22</v>
      </c>
      <c r="M28" t="s">
        <v>314</v>
      </c>
      <c r="N28" t="str">
        <f t="shared" si="0"/>
        <v>get router info routing-table details 10.246.59.52 | grep -f *</v>
      </c>
      <c r="O28" t="s">
        <v>315</v>
      </c>
      <c r="P28" t="s">
        <v>317</v>
      </c>
      <c r="Q28" t="str">
        <f t="shared" si="1"/>
        <v>diagnose firewall iprope lookup 10.246.59.52 22 10.201.0.234 22 tcp E2-EH-AGN</v>
      </c>
    </row>
    <row r="29" spans="1:17" x14ac:dyDescent="0.3">
      <c r="A29" t="s">
        <v>12</v>
      </c>
      <c r="B29" t="s">
        <v>13</v>
      </c>
      <c r="C29" t="s">
        <v>69</v>
      </c>
      <c r="D29" t="s">
        <v>70</v>
      </c>
      <c r="E29" t="s">
        <v>240</v>
      </c>
      <c r="I29" t="s">
        <v>16</v>
      </c>
      <c r="J29">
        <v>22</v>
      </c>
      <c r="K29">
        <v>22</v>
      </c>
      <c r="M29" t="s">
        <v>314</v>
      </c>
      <c r="N29" t="str">
        <f t="shared" si="0"/>
        <v>get router info routing-table details 10.246.59.228 | grep -f *</v>
      </c>
      <c r="O29" t="s">
        <v>315</v>
      </c>
      <c r="P29" t="s">
        <v>317</v>
      </c>
      <c r="Q29" t="str">
        <f t="shared" si="1"/>
        <v>diagnose firewall iprope lookup 10.246.59.228 22 10.201.0.234 22 tcp E2-EH-AGN</v>
      </c>
    </row>
    <row r="30" spans="1:17" x14ac:dyDescent="0.3">
      <c r="A30" t="s">
        <v>12</v>
      </c>
      <c r="B30" t="s">
        <v>13</v>
      </c>
      <c r="C30" t="s">
        <v>71</v>
      </c>
      <c r="D30" t="s">
        <v>72</v>
      </c>
      <c r="E30" t="s">
        <v>241</v>
      </c>
      <c r="I30" t="s">
        <v>16</v>
      </c>
      <c r="J30">
        <v>22</v>
      </c>
      <c r="K30">
        <v>22</v>
      </c>
      <c r="M30" t="s">
        <v>314</v>
      </c>
      <c r="N30" t="str">
        <f t="shared" si="0"/>
        <v>get router info routing-table details 10.72.42.5 | grep -f *</v>
      </c>
      <c r="O30" t="s">
        <v>315</v>
      </c>
      <c r="P30" t="s">
        <v>317</v>
      </c>
      <c r="Q30" t="str">
        <f t="shared" si="1"/>
        <v>diagnose firewall iprope lookup 10.72.42.5 22 10.201.0.234 22 tcp E2-EH-AGN</v>
      </c>
    </row>
    <row r="31" spans="1:17" x14ac:dyDescent="0.3">
      <c r="A31" t="s">
        <v>12</v>
      </c>
      <c r="B31" t="s">
        <v>13</v>
      </c>
      <c r="C31" t="s">
        <v>73</v>
      </c>
      <c r="D31" t="s">
        <v>74</v>
      </c>
      <c r="E31" t="s">
        <v>242</v>
      </c>
      <c r="I31" t="s">
        <v>16</v>
      </c>
      <c r="J31">
        <v>22</v>
      </c>
      <c r="K31">
        <v>22</v>
      </c>
      <c r="M31" t="s">
        <v>314</v>
      </c>
      <c r="N31" t="str">
        <f t="shared" si="0"/>
        <v>get router info routing-table details 10.246.59.110 | grep -f *</v>
      </c>
      <c r="O31" t="s">
        <v>315</v>
      </c>
      <c r="P31" t="s">
        <v>317</v>
      </c>
      <c r="Q31" t="str">
        <f t="shared" si="1"/>
        <v>diagnose firewall iprope lookup 10.246.59.110 22 10.201.0.234 22 tcp E2-EH-AGN</v>
      </c>
    </row>
    <row r="32" spans="1:17" x14ac:dyDescent="0.3">
      <c r="A32" t="s">
        <v>12</v>
      </c>
      <c r="B32" t="s">
        <v>13</v>
      </c>
      <c r="C32" t="s">
        <v>75</v>
      </c>
      <c r="D32" t="s">
        <v>76</v>
      </c>
      <c r="E32" t="s">
        <v>243</v>
      </c>
      <c r="I32" t="s">
        <v>16</v>
      </c>
      <c r="J32">
        <v>22</v>
      </c>
      <c r="K32">
        <v>22</v>
      </c>
      <c r="M32" t="s">
        <v>314</v>
      </c>
      <c r="N32" t="str">
        <f t="shared" si="0"/>
        <v>get router info routing-table details 10.246.59.240 | grep -f *</v>
      </c>
      <c r="O32" t="s">
        <v>315</v>
      </c>
      <c r="P32" t="s">
        <v>317</v>
      </c>
      <c r="Q32" t="str">
        <f t="shared" si="1"/>
        <v>diagnose firewall iprope lookup 10.246.59.240 22 10.201.0.234 22 tcp E2-EH-AGN</v>
      </c>
    </row>
    <row r="33" spans="1:17" x14ac:dyDescent="0.3">
      <c r="A33" t="s">
        <v>12</v>
      </c>
      <c r="B33" t="s">
        <v>13</v>
      </c>
      <c r="C33" t="s">
        <v>77</v>
      </c>
      <c r="D33" t="s">
        <v>78</v>
      </c>
      <c r="E33" t="s">
        <v>244</v>
      </c>
      <c r="I33" t="s">
        <v>16</v>
      </c>
      <c r="J33">
        <v>22</v>
      </c>
      <c r="K33">
        <v>22</v>
      </c>
      <c r="M33" t="s">
        <v>314</v>
      </c>
      <c r="N33" t="str">
        <f t="shared" si="0"/>
        <v>get router info routing-table details 10.246.59.139 | grep -f *</v>
      </c>
      <c r="O33" t="s">
        <v>315</v>
      </c>
      <c r="P33" t="s">
        <v>317</v>
      </c>
      <c r="Q33" t="str">
        <f t="shared" si="1"/>
        <v>diagnose firewall iprope lookup 10.246.59.139 22 10.201.0.234 22 tcp E2-EH-AGN</v>
      </c>
    </row>
    <row r="34" spans="1:17" x14ac:dyDescent="0.3">
      <c r="A34" t="s">
        <v>12</v>
      </c>
      <c r="B34" t="s">
        <v>13</v>
      </c>
      <c r="C34" t="s">
        <v>79</v>
      </c>
      <c r="D34" t="s">
        <v>80</v>
      </c>
      <c r="E34" t="s">
        <v>245</v>
      </c>
      <c r="I34" t="s">
        <v>16</v>
      </c>
      <c r="J34">
        <v>22</v>
      </c>
      <c r="K34">
        <v>22</v>
      </c>
      <c r="M34" t="s">
        <v>314</v>
      </c>
      <c r="N34" t="str">
        <f t="shared" si="0"/>
        <v>get router info routing-table details 10.246.59.229 | grep -f *</v>
      </c>
      <c r="O34" t="s">
        <v>315</v>
      </c>
      <c r="P34" t="s">
        <v>317</v>
      </c>
      <c r="Q34" t="str">
        <f t="shared" si="1"/>
        <v>diagnose firewall iprope lookup 10.246.59.229 22 10.201.0.234 22 tcp E2-EH-AGN</v>
      </c>
    </row>
    <row r="35" spans="1:17" x14ac:dyDescent="0.3">
      <c r="A35" t="s">
        <v>12</v>
      </c>
      <c r="B35" t="s">
        <v>13</v>
      </c>
      <c r="C35" t="s">
        <v>81</v>
      </c>
      <c r="D35" t="s">
        <v>82</v>
      </c>
      <c r="E35" t="s">
        <v>246</v>
      </c>
      <c r="I35" t="s">
        <v>16</v>
      </c>
      <c r="J35">
        <v>22</v>
      </c>
      <c r="K35">
        <v>22</v>
      </c>
      <c r="M35" t="s">
        <v>314</v>
      </c>
      <c r="N35" t="str">
        <f t="shared" si="0"/>
        <v>get router info routing-table details 10.246.59.122 | grep -f *</v>
      </c>
      <c r="O35" t="s">
        <v>315</v>
      </c>
      <c r="P35" t="s">
        <v>317</v>
      </c>
      <c r="Q35" t="str">
        <f t="shared" si="1"/>
        <v>diagnose firewall iprope lookup 10.246.59.122 22 10.201.0.234 22 tcp E2-EH-AGN</v>
      </c>
    </row>
    <row r="36" spans="1:17" x14ac:dyDescent="0.3">
      <c r="A36" t="s">
        <v>12</v>
      </c>
      <c r="B36" t="s">
        <v>13</v>
      </c>
      <c r="C36" t="s">
        <v>83</v>
      </c>
      <c r="D36" t="s">
        <v>84</v>
      </c>
      <c r="E36" t="s">
        <v>247</v>
      </c>
      <c r="I36" t="s">
        <v>16</v>
      </c>
      <c r="J36">
        <v>22</v>
      </c>
      <c r="K36">
        <v>22</v>
      </c>
      <c r="M36" t="s">
        <v>314</v>
      </c>
      <c r="N36" t="str">
        <f t="shared" si="0"/>
        <v>get router info routing-table details 10.246.59.134 | grep -f *</v>
      </c>
      <c r="O36" t="s">
        <v>315</v>
      </c>
      <c r="P36" t="s">
        <v>317</v>
      </c>
      <c r="Q36" t="str">
        <f t="shared" si="1"/>
        <v>diagnose firewall iprope lookup 10.246.59.134 22 10.201.0.234 22 tcp E2-EH-AGN</v>
      </c>
    </row>
    <row r="37" spans="1:17" x14ac:dyDescent="0.3">
      <c r="A37" t="s">
        <v>12</v>
      </c>
      <c r="B37" t="s">
        <v>13</v>
      </c>
      <c r="C37" t="s">
        <v>85</v>
      </c>
      <c r="D37" t="s">
        <v>86</v>
      </c>
      <c r="E37" t="s">
        <v>248</v>
      </c>
      <c r="I37" t="s">
        <v>16</v>
      </c>
      <c r="J37">
        <v>22</v>
      </c>
      <c r="K37">
        <v>22</v>
      </c>
      <c r="M37" t="s">
        <v>314</v>
      </c>
      <c r="N37" t="str">
        <f t="shared" si="0"/>
        <v>get router info routing-table details 10.246.59.173 | grep -f *</v>
      </c>
      <c r="O37" t="s">
        <v>315</v>
      </c>
      <c r="P37" t="s">
        <v>317</v>
      </c>
      <c r="Q37" t="str">
        <f t="shared" si="1"/>
        <v>diagnose firewall iprope lookup 10.246.59.173 22 10.201.0.234 22 tcp E2-EH-AGN</v>
      </c>
    </row>
    <row r="38" spans="1:17" x14ac:dyDescent="0.3">
      <c r="A38" t="s">
        <v>12</v>
      </c>
      <c r="B38" t="s">
        <v>13</v>
      </c>
      <c r="C38" t="s">
        <v>87</v>
      </c>
      <c r="D38" t="s">
        <v>88</v>
      </c>
      <c r="E38" t="s">
        <v>249</v>
      </c>
      <c r="I38" t="s">
        <v>16</v>
      </c>
      <c r="J38">
        <v>22</v>
      </c>
      <c r="K38">
        <v>22</v>
      </c>
      <c r="M38" t="s">
        <v>314</v>
      </c>
      <c r="N38" t="str">
        <f t="shared" si="0"/>
        <v>get router info routing-table details 10.246.59.100 | grep -f *</v>
      </c>
      <c r="O38" t="s">
        <v>315</v>
      </c>
      <c r="P38" t="s">
        <v>317</v>
      </c>
      <c r="Q38" t="str">
        <f t="shared" si="1"/>
        <v>diagnose firewall iprope lookup 10.246.59.100 22 10.201.0.234 22 tcp E2-EH-AGN</v>
      </c>
    </row>
    <row r="39" spans="1:17" x14ac:dyDescent="0.3">
      <c r="A39" t="s">
        <v>12</v>
      </c>
      <c r="B39" t="s">
        <v>13</v>
      </c>
      <c r="C39" t="s">
        <v>89</v>
      </c>
      <c r="D39" t="s">
        <v>90</v>
      </c>
      <c r="E39" t="s">
        <v>250</v>
      </c>
      <c r="I39" t="s">
        <v>16</v>
      </c>
      <c r="J39">
        <v>22</v>
      </c>
      <c r="K39">
        <v>22</v>
      </c>
      <c r="M39" t="s">
        <v>314</v>
      </c>
      <c r="N39" t="str">
        <f t="shared" si="0"/>
        <v>get router info routing-table details 10.246.59.248 | grep -f *</v>
      </c>
      <c r="O39" t="s">
        <v>315</v>
      </c>
      <c r="P39" t="s">
        <v>317</v>
      </c>
      <c r="Q39" t="str">
        <f t="shared" si="1"/>
        <v>diagnose firewall iprope lookup 10.246.59.248 22 10.201.0.234 22 tcp E2-EH-AGN</v>
      </c>
    </row>
    <row r="40" spans="1:17" x14ac:dyDescent="0.3">
      <c r="A40" t="s">
        <v>12</v>
      </c>
      <c r="B40" t="s">
        <v>13</v>
      </c>
      <c r="C40" t="s">
        <v>91</v>
      </c>
      <c r="D40" t="s">
        <v>92</v>
      </c>
      <c r="E40" t="s">
        <v>251</v>
      </c>
      <c r="I40" t="s">
        <v>16</v>
      </c>
      <c r="J40">
        <v>22</v>
      </c>
      <c r="K40">
        <v>22</v>
      </c>
      <c r="M40" t="s">
        <v>314</v>
      </c>
      <c r="N40" t="str">
        <f t="shared" si="0"/>
        <v>get router info routing-table details 10.246.59.40 | grep -f *</v>
      </c>
      <c r="O40" t="s">
        <v>315</v>
      </c>
      <c r="P40" t="s">
        <v>317</v>
      </c>
      <c r="Q40" t="str">
        <f t="shared" si="1"/>
        <v>diagnose firewall iprope lookup 10.246.59.40 22 10.201.0.234 22 tcp E2-EH-AGN</v>
      </c>
    </row>
    <row r="41" spans="1:17" x14ac:dyDescent="0.3">
      <c r="A41" t="s">
        <v>12</v>
      </c>
      <c r="B41" t="s">
        <v>13</v>
      </c>
      <c r="C41" t="s">
        <v>93</v>
      </c>
      <c r="D41" t="s">
        <v>94</v>
      </c>
      <c r="E41" t="s">
        <v>252</v>
      </c>
      <c r="I41" t="s">
        <v>16</v>
      </c>
      <c r="J41">
        <v>22</v>
      </c>
      <c r="K41">
        <v>22</v>
      </c>
      <c r="M41" t="s">
        <v>314</v>
      </c>
      <c r="N41" t="str">
        <f t="shared" si="0"/>
        <v>get router info routing-table details 10.246.59.118 | grep -f *</v>
      </c>
      <c r="O41" t="s">
        <v>315</v>
      </c>
      <c r="P41" t="s">
        <v>317</v>
      </c>
      <c r="Q41" t="str">
        <f t="shared" si="1"/>
        <v>diagnose firewall iprope lookup 10.246.59.118 22 10.201.0.234 22 tcp E2-EH-AGN</v>
      </c>
    </row>
    <row r="42" spans="1:17" x14ac:dyDescent="0.3">
      <c r="A42" t="s">
        <v>12</v>
      </c>
      <c r="B42" t="s">
        <v>13</v>
      </c>
      <c r="C42" t="s">
        <v>95</v>
      </c>
      <c r="D42" t="s">
        <v>96</v>
      </c>
      <c r="E42" t="s">
        <v>253</v>
      </c>
      <c r="I42" t="s">
        <v>16</v>
      </c>
      <c r="J42">
        <v>22</v>
      </c>
      <c r="K42">
        <v>22</v>
      </c>
      <c r="M42" t="s">
        <v>314</v>
      </c>
      <c r="N42" t="str">
        <f t="shared" si="0"/>
        <v>get router info routing-table details 10.246.59.106 | grep -f *</v>
      </c>
      <c r="O42" t="s">
        <v>315</v>
      </c>
      <c r="P42" t="s">
        <v>317</v>
      </c>
      <c r="Q42" t="str">
        <f t="shared" si="1"/>
        <v>diagnose firewall iprope lookup 10.246.59.106 22 10.201.0.234 22 tcp E2-EH-AGN</v>
      </c>
    </row>
    <row r="43" spans="1:17" x14ac:dyDescent="0.3">
      <c r="A43" t="s">
        <v>12</v>
      </c>
      <c r="B43" t="s">
        <v>13</v>
      </c>
      <c r="C43" t="s">
        <v>97</v>
      </c>
      <c r="D43" t="s">
        <v>98</v>
      </c>
      <c r="E43" t="s">
        <v>254</v>
      </c>
      <c r="I43" t="s">
        <v>16</v>
      </c>
      <c r="J43">
        <v>22</v>
      </c>
      <c r="K43">
        <v>22</v>
      </c>
      <c r="M43" t="s">
        <v>314</v>
      </c>
      <c r="N43" t="str">
        <f t="shared" si="0"/>
        <v>get router info routing-table details 10.246.59.85 | grep -f *</v>
      </c>
      <c r="O43" t="s">
        <v>315</v>
      </c>
      <c r="P43" t="s">
        <v>317</v>
      </c>
      <c r="Q43" t="str">
        <f t="shared" si="1"/>
        <v>diagnose firewall iprope lookup 10.246.59.85 22 10.201.0.234 22 tcp E2-EH-AGN</v>
      </c>
    </row>
    <row r="44" spans="1:17" x14ac:dyDescent="0.3">
      <c r="A44" t="s">
        <v>12</v>
      </c>
      <c r="B44" t="s">
        <v>13</v>
      </c>
      <c r="C44" t="s">
        <v>99</v>
      </c>
      <c r="D44" t="s">
        <v>100</v>
      </c>
      <c r="E44" t="s">
        <v>255</v>
      </c>
      <c r="I44" t="s">
        <v>16</v>
      </c>
      <c r="J44">
        <v>22</v>
      </c>
      <c r="K44">
        <v>22</v>
      </c>
      <c r="M44" t="s">
        <v>314</v>
      </c>
      <c r="N44" t="str">
        <f t="shared" si="0"/>
        <v>get router info routing-table details 10.246.59.25 | grep -f *</v>
      </c>
      <c r="O44" t="s">
        <v>315</v>
      </c>
      <c r="P44" t="s">
        <v>317</v>
      </c>
      <c r="Q44" t="str">
        <f t="shared" si="1"/>
        <v>diagnose firewall iprope lookup 10.246.59.25 22 10.201.0.234 22 tcp E2-EH-AGN</v>
      </c>
    </row>
    <row r="45" spans="1:17" x14ac:dyDescent="0.3">
      <c r="A45" t="s">
        <v>12</v>
      </c>
      <c r="B45" t="s">
        <v>13</v>
      </c>
      <c r="C45" t="s">
        <v>101</v>
      </c>
      <c r="D45" t="s">
        <v>102</v>
      </c>
      <c r="E45" t="s">
        <v>256</v>
      </c>
      <c r="I45" t="s">
        <v>16</v>
      </c>
      <c r="J45">
        <v>22</v>
      </c>
      <c r="K45">
        <v>22</v>
      </c>
      <c r="M45" t="s">
        <v>314</v>
      </c>
      <c r="N45" t="str">
        <f t="shared" si="0"/>
        <v>get router info routing-table details 10.246.59.48 | grep -f *</v>
      </c>
      <c r="O45" t="s">
        <v>315</v>
      </c>
      <c r="P45" t="s">
        <v>317</v>
      </c>
      <c r="Q45" t="str">
        <f t="shared" si="1"/>
        <v>diagnose firewall iprope lookup 10.246.59.48 22 10.201.0.234 22 tcp E2-EH-AGN</v>
      </c>
    </row>
    <row r="46" spans="1:17" x14ac:dyDescent="0.3">
      <c r="A46" t="s">
        <v>12</v>
      </c>
      <c r="B46" t="s">
        <v>13</v>
      </c>
      <c r="C46" t="s">
        <v>103</v>
      </c>
      <c r="D46" t="s">
        <v>104</v>
      </c>
      <c r="E46" s="1" t="s">
        <v>257</v>
      </c>
      <c r="F46" s="1"/>
      <c r="G46" s="1"/>
      <c r="H46" s="1"/>
      <c r="I46" s="1" t="s">
        <v>16</v>
      </c>
      <c r="J46" s="1">
        <v>443</v>
      </c>
      <c r="K46" s="1">
        <v>443</v>
      </c>
      <c r="L46" s="1"/>
      <c r="M46" s="1" t="s">
        <v>314</v>
      </c>
      <c r="N46" t="str">
        <f t="shared" si="0"/>
        <v>get router info routing-table details 172.18.0.5 | grep -f *</v>
      </c>
      <c r="O46" t="s">
        <v>315</v>
      </c>
      <c r="P46" t="s">
        <v>316</v>
      </c>
      <c r="Q46" t="str">
        <f t="shared" si="1"/>
        <v>diagnose firewall iprope lookup 172.18.0.5 443 10.201.0.234 443 tcp E2-EH-PATHRU</v>
      </c>
    </row>
    <row r="47" spans="1:17" x14ac:dyDescent="0.3">
      <c r="A47" t="s">
        <v>12</v>
      </c>
      <c r="B47" t="s">
        <v>13</v>
      </c>
      <c r="C47" t="s">
        <v>105</v>
      </c>
      <c r="D47" t="s">
        <v>106</v>
      </c>
      <c r="E47" t="s">
        <v>258</v>
      </c>
      <c r="I47" t="s">
        <v>16</v>
      </c>
      <c r="J47">
        <v>22</v>
      </c>
      <c r="K47">
        <v>22</v>
      </c>
      <c r="M47" t="s">
        <v>314</v>
      </c>
      <c r="N47" t="str">
        <f t="shared" si="0"/>
        <v>get router info routing-table details 10.246.59.39 | grep -f *</v>
      </c>
      <c r="O47" t="s">
        <v>315</v>
      </c>
      <c r="P47" t="s">
        <v>317</v>
      </c>
      <c r="Q47" t="str">
        <f t="shared" si="1"/>
        <v>diagnose firewall iprope lookup 10.246.59.39 22 10.201.0.234 22 tcp E2-EH-AGN</v>
      </c>
    </row>
    <row r="48" spans="1:17" x14ac:dyDescent="0.3">
      <c r="A48" t="s">
        <v>12</v>
      </c>
      <c r="B48" t="s">
        <v>13</v>
      </c>
      <c r="C48" t="s">
        <v>107</v>
      </c>
      <c r="D48" t="s">
        <v>108</v>
      </c>
      <c r="E48" t="s">
        <v>259</v>
      </c>
      <c r="I48" t="s">
        <v>16</v>
      </c>
      <c r="J48">
        <v>22</v>
      </c>
      <c r="K48">
        <v>22</v>
      </c>
      <c r="M48" t="s">
        <v>314</v>
      </c>
      <c r="N48" t="str">
        <f t="shared" si="0"/>
        <v>get router info routing-table details 10.246.59.68 | grep -f *</v>
      </c>
      <c r="O48" t="s">
        <v>315</v>
      </c>
      <c r="P48" t="s">
        <v>317</v>
      </c>
      <c r="Q48" t="str">
        <f t="shared" si="1"/>
        <v>diagnose firewall iprope lookup 10.246.59.68 22 10.201.0.234 22 tcp E2-EH-AGN</v>
      </c>
    </row>
    <row r="49" spans="1:17" x14ac:dyDescent="0.3">
      <c r="A49" t="s">
        <v>12</v>
      </c>
      <c r="B49" t="s">
        <v>13</v>
      </c>
      <c r="C49" t="s">
        <v>109</v>
      </c>
      <c r="D49" t="s">
        <v>110</v>
      </c>
      <c r="E49" t="s">
        <v>260</v>
      </c>
      <c r="I49" t="s">
        <v>16</v>
      </c>
      <c r="J49">
        <v>22</v>
      </c>
      <c r="K49">
        <v>22</v>
      </c>
      <c r="M49" t="s">
        <v>314</v>
      </c>
      <c r="N49" t="str">
        <f t="shared" si="0"/>
        <v>get router info routing-table details 10.246.59.78 | grep -f *</v>
      </c>
      <c r="O49" t="s">
        <v>315</v>
      </c>
      <c r="P49" t="s">
        <v>317</v>
      </c>
      <c r="Q49" t="str">
        <f t="shared" si="1"/>
        <v>diagnose firewall iprope lookup 10.246.59.78 22 10.201.0.234 22 tcp E2-EH-AGN</v>
      </c>
    </row>
    <row r="50" spans="1:17" x14ac:dyDescent="0.3">
      <c r="A50" t="s">
        <v>12</v>
      </c>
      <c r="B50" t="s">
        <v>13</v>
      </c>
      <c r="C50" t="s">
        <v>111</v>
      </c>
      <c r="D50" t="s">
        <v>112</v>
      </c>
      <c r="E50" t="s">
        <v>261</v>
      </c>
      <c r="I50" t="s">
        <v>16</v>
      </c>
      <c r="J50">
        <v>22</v>
      </c>
      <c r="K50">
        <v>22</v>
      </c>
      <c r="M50" t="s">
        <v>314</v>
      </c>
      <c r="N50" t="str">
        <f t="shared" si="0"/>
        <v>get router info routing-table details 10.246.59.112 | grep -f *</v>
      </c>
      <c r="O50" t="s">
        <v>315</v>
      </c>
      <c r="P50" t="s">
        <v>317</v>
      </c>
      <c r="Q50" t="str">
        <f t="shared" si="1"/>
        <v>diagnose firewall iprope lookup 10.246.59.112 22 10.201.0.234 22 tcp E2-EH-AGN</v>
      </c>
    </row>
    <row r="51" spans="1:17" x14ac:dyDescent="0.3">
      <c r="A51" t="s">
        <v>12</v>
      </c>
      <c r="B51" t="s">
        <v>13</v>
      </c>
      <c r="C51" t="s">
        <v>113</v>
      </c>
      <c r="D51" t="s">
        <v>114</v>
      </c>
      <c r="E51" t="s">
        <v>262</v>
      </c>
      <c r="I51" t="s">
        <v>16</v>
      </c>
      <c r="J51">
        <v>22</v>
      </c>
      <c r="K51">
        <v>22</v>
      </c>
      <c r="M51" t="s">
        <v>314</v>
      </c>
      <c r="N51" t="str">
        <f t="shared" si="0"/>
        <v>get router info routing-table details 10.246.59.97 | grep -f *</v>
      </c>
      <c r="O51" t="s">
        <v>315</v>
      </c>
      <c r="P51" t="s">
        <v>317</v>
      </c>
      <c r="Q51" t="str">
        <f t="shared" si="1"/>
        <v>diagnose firewall iprope lookup 10.246.59.97 22 10.201.0.234 22 tcp E2-EH-AGN</v>
      </c>
    </row>
    <row r="52" spans="1:17" x14ac:dyDescent="0.3">
      <c r="A52" t="s">
        <v>12</v>
      </c>
      <c r="B52" t="s">
        <v>13</v>
      </c>
      <c r="C52" t="s">
        <v>115</v>
      </c>
      <c r="D52" t="s">
        <v>116</v>
      </c>
      <c r="E52" t="s">
        <v>263</v>
      </c>
      <c r="I52" t="s">
        <v>16</v>
      </c>
      <c r="J52">
        <v>22</v>
      </c>
      <c r="K52">
        <v>22</v>
      </c>
      <c r="M52" t="s">
        <v>314</v>
      </c>
      <c r="N52" t="str">
        <f t="shared" si="0"/>
        <v>get router info routing-table details 10.246.59.160 | grep -f *</v>
      </c>
      <c r="O52" t="s">
        <v>315</v>
      </c>
      <c r="P52" t="s">
        <v>317</v>
      </c>
      <c r="Q52" t="str">
        <f t="shared" si="1"/>
        <v>diagnose firewall iprope lookup 10.246.59.160 22 10.201.0.234 22 tcp E2-EH-AGN</v>
      </c>
    </row>
    <row r="53" spans="1:17" x14ac:dyDescent="0.3">
      <c r="A53" t="s">
        <v>12</v>
      </c>
      <c r="B53" t="s">
        <v>13</v>
      </c>
      <c r="C53" t="s">
        <v>117</v>
      </c>
      <c r="D53" t="s">
        <v>118</v>
      </c>
      <c r="E53" t="s">
        <v>264</v>
      </c>
      <c r="I53" t="s">
        <v>16</v>
      </c>
      <c r="J53">
        <v>22</v>
      </c>
      <c r="K53">
        <v>22</v>
      </c>
      <c r="M53" t="s">
        <v>314</v>
      </c>
      <c r="N53" t="str">
        <f t="shared" si="0"/>
        <v>get router info routing-table details 10.246.59.87 | grep -f *</v>
      </c>
      <c r="O53" t="s">
        <v>315</v>
      </c>
      <c r="P53" t="s">
        <v>317</v>
      </c>
      <c r="Q53" t="str">
        <f t="shared" si="1"/>
        <v>diagnose firewall iprope lookup 10.246.59.87 22 10.201.0.234 22 tcp E2-EH-AGN</v>
      </c>
    </row>
    <row r="54" spans="1:17" x14ac:dyDescent="0.3">
      <c r="A54" t="s">
        <v>12</v>
      </c>
      <c r="B54" t="s">
        <v>13</v>
      </c>
      <c r="C54" t="s">
        <v>119</v>
      </c>
      <c r="D54" t="s">
        <v>120</v>
      </c>
      <c r="E54" t="s">
        <v>265</v>
      </c>
      <c r="I54" t="s">
        <v>16</v>
      </c>
      <c r="J54">
        <v>22</v>
      </c>
      <c r="K54">
        <v>22</v>
      </c>
      <c r="M54" t="s">
        <v>314</v>
      </c>
      <c r="N54" t="str">
        <f t="shared" si="0"/>
        <v>get router info routing-table details 10.246.59.12 | grep -f *</v>
      </c>
      <c r="O54" t="s">
        <v>315</v>
      </c>
      <c r="P54" t="s">
        <v>317</v>
      </c>
      <c r="Q54" t="str">
        <f t="shared" si="1"/>
        <v>diagnose firewall iprope lookup 10.246.59.12 22 10.201.0.234 22 tcp E2-EH-AGN</v>
      </c>
    </row>
    <row r="55" spans="1:17" x14ac:dyDescent="0.3">
      <c r="A55" t="s">
        <v>12</v>
      </c>
      <c r="B55" t="s">
        <v>13</v>
      </c>
      <c r="C55" t="s">
        <v>121</v>
      </c>
      <c r="D55" t="s">
        <v>122</v>
      </c>
      <c r="E55" t="s">
        <v>266</v>
      </c>
      <c r="I55" t="s">
        <v>16</v>
      </c>
      <c r="J55">
        <v>22</v>
      </c>
      <c r="K55">
        <v>22</v>
      </c>
      <c r="M55" t="s">
        <v>314</v>
      </c>
      <c r="N55" t="str">
        <f t="shared" si="0"/>
        <v>get router info routing-table details 10.246.59.62 | grep -f *</v>
      </c>
      <c r="O55" t="s">
        <v>315</v>
      </c>
      <c r="P55" t="s">
        <v>317</v>
      </c>
      <c r="Q55" t="str">
        <f t="shared" si="1"/>
        <v>diagnose firewall iprope lookup 10.246.59.62 22 10.201.0.234 22 tcp E2-EH-AGN</v>
      </c>
    </row>
    <row r="56" spans="1:17" x14ac:dyDescent="0.3">
      <c r="A56" t="s">
        <v>12</v>
      </c>
      <c r="B56" t="s">
        <v>13</v>
      </c>
      <c r="C56" t="s">
        <v>123</v>
      </c>
      <c r="D56" t="s">
        <v>124</v>
      </c>
      <c r="E56" t="s">
        <v>267</v>
      </c>
      <c r="I56" t="s">
        <v>16</v>
      </c>
      <c r="J56">
        <v>22</v>
      </c>
      <c r="K56">
        <v>22</v>
      </c>
      <c r="M56" t="s">
        <v>314</v>
      </c>
      <c r="N56" t="str">
        <f t="shared" si="0"/>
        <v>get router info routing-table details 10.246.59.218 | grep -f *</v>
      </c>
      <c r="O56" t="s">
        <v>315</v>
      </c>
      <c r="P56" t="s">
        <v>317</v>
      </c>
      <c r="Q56" t="str">
        <f t="shared" si="1"/>
        <v>diagnose firewall iprope lookup 10.246.59.218 22 10.201.0.234 22 tcp E2-EH-AGN</v>
      </c>
    </row>
    <row r="57" spans="1:17" x14ac:dyDescent="0.3">
      <c r="A57" t="s">
        <v>12</v>
      </c>
      <c r="B57" t="s">
        <v>13</v>
      </c>
      <c r="C57" t="s">
        <v>125</v>
      </c>
      <c r="D57" t="s">
        <v>126</v>
      </c>
      <c r="E57" t="s">
        <v>268</v>
      </c>
      <c r="I57" t="s">
        <v>16</v>
      </c>
      <c r="J57">
        <v>22</v>
      </c>
      <c r="K57">
        <v>22</v>
      </c>
      <c r="M57" t="s">
        <v>314</v>
      </c>
      <c r="N57" t="str">
        <f t="shared" si="0"/>
        <v>get router info routing-table details 10.17.42.6 | grep -f *</v>
      </c>
      <c r="O57" t="s">
        <v>315</v>
      </c>
      <c r="P57" t="s">
        <v>317</v>
      </c>
      <c r="Q57" t="str">
        <f t="shared" si="1"/>
        <v>diagnose firewall iprope lookup 10.17.42.6 22 10.201.0.234 22 tcp E2-EH-AGN</v>
      </c>
    </row>
    <row r="58" spans="1:17" x14ac:dyDescent="0.3">
      <c r="A58" t="s">
        <v>12</v>
      </c>
      <c r="B58" t="s">
        <v>13</v>
      </c>
      <c r="C58" t="s">
        <v>127</v>
      </c>
      <c r="D58" t="s">
        <v>128</v>
      </c>
      <c r="E58" t="s">
        <v>269</v>
      </c>
      <c r="I58" t="s">
        <v>16</v>
      </c>
      <c r="J58">
        <v>22</v>
      </c>
      <c r="K58">
        <v>22</v>
      </c>
      <c r="M58" t="s">
        <v>314</v>
      </c>
      <c r="N58" t="str">
        <f t="shared" si="0"/>
        <v>get router info routing-table details 10.246.59.49 | grep -f *</v>
      </c>
      <c r="O58" t="s">
        <v>315</v>
      </c>
      <c r="P58" t="s">
        <v>317</v>
      </c>
      <c r="Q58" t="str">
        <f t="shared" si="1"/>
        <v>diagnose firewall iprope lookup 10.246.59.49 22 10.201.0.234 22 tcp E2-EH-AGN</v>
      </c>
    </row>
    <row r="59" spans="1:17" x14ac:dyDescent="0.3">
      <c r="A59" t="s">
        <v>12</v>
      </c>
      <c r="B59" t="s">
        <v>13</v>
      </c>
      <c r="C59" t="s">
        <v>129</v>
      </c>
      <c r="D59" t="s">
        <v>130</v>
      </c>
      <c r="E59" t="s">
        <v>270</v>
      </c>
      <c r="I59" t="s">
        <v>16</v>
      </c>
      <c r="J59">
        <v>22</v>
      </c>
      <c r="K59">
        <v>22</v>
      </c>
      <c r="M59" t="s">
        <v>314</v>
      </c>
      <c r="N59" t="str">
        <f t="shared" si="0"/>
        <v>get router info routing-table details 10.246.59.156 | grep -f *</v>
      </c>
      <c r="O59" t="s">
        <v>315</v>
      </c>
      <c r="P59" t="s">
        <v>317</v>
      </c>
      <c r="Q59" t="str">
        <f t="shared" si="1"/>
        <v>diagnose firewall iprope lookup 10.246.59.156 22 10.201.0.234 22 tcp E2-EH-AGN</v>
      </c>
    </row>
    <row r="60" spans="1:17" x14ac:dyDescent="0.3">
      <c r="A60" t="s">
        <v>12</v>
      </c>
      <c r="B60" t="s">
        <v>13</v>
      </c>
      <c r="C60" t="s">
        <v>131</v>
      </c>
      <c r="D60" t="s">
        <v>132</v>
      </c>
      <c r="E60" t="s">
        <v>271</v>
      </c>
      <c r="I60" t="s">
        <v>16</v>
      </c>
      <c r="J60">
        <v>22</v>
      </c>
      <c r="K60">
        <v>22</v>
      </c>
      <c r="M60" t="s">
        <v>314</v>
      </c>
      <c r="N60" t="str">
        <f t="shared" si="0"/>
        <v>get router info routing-table details 10.246.59.119 | grep -f *</v>
      </c>
      <c r="O60" t="s">
        <v>315</v>
      </c>
      <c r="P60" t="s">
        <v>317</v>
      </c>
      <c r="Q60" t="str">
        <f t="shared" si="1"/>
        <v>diagnose firewall iprope lookup 10.246.59.119 22 10.201.0.234 22 tcp E2-EH-AGN</v>
      </c>
    </row>
    <row r="61" spans="1:17" x14ac:dyDescent="0.3">
      <c r="A61" t="s">
        <v>12</v>
      </c>
      <c r="B61" t="s">
        <v>13</v>
      </c>
      <c r="C61" t="s">
        <v>133</v>
      </c>
      <c r="D61" t="s">
        <v>134</v>
      </c>
      <c r="E61" t="s">
        <v>272</v>
      </c>
      <c r="I61" t="s">
        <v>16</v>
      </c>
      <c r="J61">
        <v>22</v>
      </c>
      <c r="K61">
        <v>22</v>
      </c>
      <c r="M61" t="s">
        <v>314</v>
      </c>
      <c r="N61" t="str">
        <f t="shared" si="0"/>
        <v>get router info routing-table details 10.246.59.27 | grep -f *</v>
      </c>
      <c r="O61" t="s">
        <v>315</v>
      </c>
      <c r="P61" t="s">
        <v>317</v>
      </c>
      <c r="Q61" t="str">
        <f t="shared" si="1"/>
        <v>diagnose firewall iprope lookup 10.246.59.27 22 10.201.0.234 22 tcp E2-EH-AGN</v>
      </c>
    </row>
    <row r="62" spans="1:17" x14ac:dyDescent="0.3">
      <c r="A62" t="s">
        <v>12</v>
      </c>
      <c r="B62" t="s">
        <v>13</v>
      </c>
      <c r="C62" t="s">
        <v>135</v>
      </c>
      <c r="D62" t="s">
        <v>136</v>
      </c>
      <c r="E62" t="s">
        <v>273</v>
      </c>
      <c r="I62" t="s">
        <v>16</v>
      </c>
      <c r="J62">
        <v>22</v>
      </c>
      <c r="K62">
        <v>22</v>
      </c>
      <c r="M62" t="s">
        <v>314</v>
      </c>
      <c r="N62" t="str">
        <f t="shared" si="0"/>
        <v>get router info routing-table details 10.246.59.15 | grep -f *</v>
      </c>
      <c r="O62" t="s">
        <v>315</v>
      </c>
      <c r="P62" t="s">
        <v>317</v>
      </c>
      <c r="Q62" t="str">
        <f t="shared" si="1"/>
        <v>diagnose firewall iprope lookup 10.246.59.15 22 10.201.0.234 22 tcp E2-EH-AGN</v>
      </c>
    </row>
    <row r="63" spans="1:17" x14ac:dyDescent="0.3">
      <c r="A63" t="s">
        <v>12</v>
      </c>
      <c r="B63" t="s">
        <v>13</v>
      </c>
      <c r="C63" t="s">
        <v>137</v>
      </c>
      <c r="D63" t="s">
        <v>138</v>
      </c>
      <c r="E63" t="s">
        <v>274</v>
      </c>
      <c r="I63" t="s">
        <v>16</v>
      </c>
      <c r="J63">
        <v>22</v>
      </c>
      <c r="K63">
        <v>22</v>
      </c>
      <c r="M63" t="s">
        <v>314</v>
      </c>
      <c r="N63" t="str">
        <f t="shared" si="0"/>
        <v>get router info routing-table details 10.246.59.98 | grep -f *</v>
      </c>
      <c r="O63" t="s">
        <v>315</v>
      </c>
      <c r="P63" t="s">
        <v>317</v>
      </c>
      <c r="Q63" t="str">
        <f t="shared" si="1"/>
        <v>diagnose firewall iprope lookup 10.246.59.98 22 10.201.0.234 22 tcp E2-EH-AGN</v>
      </c>
    </row>
    <row r="64" spans="1:17" x14ac:dyDescent="0.3">
      <c r="A64" t="s">
        <v>12</v>
      </c>
      <c r="B64" t="s">
        <v>13</v>
      </c>
      <c r="C64" t="s">
        <v>139</v>
      </c>
      <c r="D64" t="s">
        <v>140</v>
      </c>
      <c r="E64" t="s">
        <v>275</v>
      </c>
      <c r="I64" t="s">
        <v>16</v>
      </c>
      <c r="J64">
        <v>22</v>
      </c>
      <c r="K64">
        <v>22</v>
      </c>
      <c r="M64" t="s">
        <v>314</v>
      </c>
      <c r="N64" t="str">
        <f t="shared" si="0"/>
        <v>get router info routing-table details 10.246.59.18 | grep -f *</v>
      </c>
      <c r="O64" t="s">
        <v>315</v>
      </c>
      <c r="P64" t="s">
        <v>317</v>
      </c>
      <c r="Q64" t="str">
        <f t="shared" si="1"/>
        <v>diagnose firewall iprope lookup 10.246.59.18 22 10.201.0.234 22 tcp E2-EH-AGN</v>
      </c>
    </row>
    <row r="65" spans="1:17" x14ac:dyDescent="0.3">
      <c r="A65" t="s">
        <v>12</v>
      </c>
      <c r="B65" t="s">
        <v>13</v>
      </c>
      <c r="C65" t="s">
        <v>141</v>
      </c>
      <c r="D65" t="s">
        <v>142</v>
      </c>
      <c r="E65" t="s">
        <v>276</v>
      </c>
      <c r="I65" t="s">
        <v>16</v>
      </c>
      <c r="J65">
        <v>22</v>
      </c>
      <c r="K65">
        <v>22</v>
      </c>
      <c r="M65" t="s">
        <v>314</v>
      </c>
      <c r="N65" t="str">
        <f t="shared" si="0"/>
        <v>get router info routing-table details 10.246.59.242 | grep -f *</v>
      </c>
      <c r="O65" t="s">
        <v>315</v>
      </c>
      <c r="P65" t="s">
        <v>317</v>
      </c>
      <c r="Q65" t="str">
        <f t="shared" si="1"/>
        <v>diagnose firewall iprope lookup 10.246.59.242 22 10.201.0.234 22 tcp E2-EH-AGN</v>
      </c>
    </row>
    <row r="66" spans="1:17" x14ac:dyDescent="0.3">
      <c r="A66" t="s">
        <v>12</v>
      </c>
      <c r="B66" t="s">
        <v>13</v>
      </c>
      <c r="C66" t="s">
        <v>143</v>
      </c>
      <c r="D66" t="s">
        <v>144</v>
      </c>
      <c r="E66" t="s">
        <v>277</v>
      </c>
      <c r="I66" t="s">
        <v>16</v>
      </c>
      <c r="J66">
        <v>22</v>
      </c>
      <c r="K66">
        <v>22</v>
      </c>
      <c r="M66" t="s">
        <v>314</v>
      </c>
      <c r="N66" t="str">
        <f t="shared" si="0"/>
        <v>get router info routing-table details 10.246.59.191 | grep -f *</v>
      </c>
      <c r="O66" t="s">
        <v>315</v>
      </c>
      <c r="P66" t="s">
        <v>317</v>
      </c>
      <c r="Q66" t="str">
        <f t="shared" si="1"/>
        <v>diagnose firewall iprope lookup 10.246.59.191 22 10.201.0.234 22 tcp E2-EH-AGN</v>
      </c>
    </row>
    <row r="67" spans="1:17" x14ac:dyDescent="0.3">
      <c r="A67" t="s">
        <v>12</v>
      </c>
      <c r="B67" t="s">
        <v>13</v>
      </c>
      <c r="C67" t="s">
        <v>145</v>
      </c>
      <c r="D67" t="s">
        <v>146</v>
      </c>
      <c r="E67" t="s">
        <v>278</v>
      </c>
      <c r="I67" t="s">
        <v>16</v>
      </c>
      <c r="J67">
        <v>22</v>
      </c>
      <c r="K67">
        <v>22</v>
      </c>
      <c r="M67" t="s">
        <v>314</v>
      </c>
      <c r="N67" t="str">
        <f t="shared" ref="N67:N101" si="2">_xlfn.CONCAT(M67," ",E67, " | grep -f *")</f>
        <v>get router info routing-table details 10.246.59.6 | grep -f *</v>
      </c>
      <c r="O67" t="s">
        <v>315</v>
      </c>
      <c r="P67" t="s">
        <v>317</v>
      </c>
      <c r="Q67" t="str">
        <f t="shared" ref="Q67:Q101" si="3">_xlfn.CONCAT(O67," ",E67," ",J67," 10.201.0.234 ",K67, " tcp ",P67,"")</f>
        <v>diagnose firewall iprope lookup 10.246.59.6 22 10.201.0.234 22 tcp E2-EH-AGN</v>
      </c>
    </row>
    <row r="68" spans="1:17" x14ac:dyDescent="0.3">
      <c r="A68" t="s">
        <v>12</v>
      </c>
      <c r="B68" t="s">
        <v>13</v>
      </c>
      <c r="C68" t="s">
        <v>147</v>
      </c>
      <c r="D68" t="s">
        <v>148</v>
      </c>
      <c r="E68" t="s">
        <v>279</v>
      </c>
      <c r="I68" t="s">
        <v>16</v>
      </c>
      <c r="J68">
        <v>22</v>
      </c>
      <c r="K68">
        <v>22</v>
      </c>
      <c r="M68" t="s">
        <v>314</v>
      </c>
      <c r="N68" t="str">
        <f t="shared" si="2"/>
        <v>get router info routing-table details 10.246.59.35 | grep -f *</v>
      </c>
      <c r="O68" t="s">
        <v>315</v>
      </c>
      <c r="P68" t="s">
        <v>317</v>
      </c>
      <c r="Q68" t="str">
        <f t="shared" si="3"/>
        <v>diagnose firewall iprope lookup 10.246.59.35 22 10.201.0.234 22 tcp E2-EH-AGN</v>
      </c>
    </row>
    <row r="69" spans="1:17" x14ac:dyDescent="0.3">
      <c r="A69" t="s">
        <v>12</v>
      </c>
      <c r="B69" t="s">
        <v>13</v>
      </c>
      <c r="C69" t="s">
        <v>149</v>
      </c>
      <c r="D69" t="s">
        <v>150</v>
      </c>
      <c r="E69" t="s">
        <v>280</v>
      </c>
      <c r="I69" t="s">
        <v>16</v>
      </c>
      <c r="J69">
        <v>22</v>
      </c>
      <c r="K69">
        <v>22</v>
      </c>
      <c r="M69" t="s">
        <v>314</v>
      </c>
      <c r="N69" t="str">
        <f t="shared" si="2"/>
        <v>get router info routing-table details 10.246.59.45 | grep -f *</v>
      </c>
      <c r="O69" t="s">
        <v>315</v>
      </c>
      <c r="P69" t="s">
        <v>317</v>
      </c>
      <c r="Q69" t="str">
        <f t="shared" si="3"/>
        <v>diagnose firewall iprope lookup 10.246.59.45 22 10.201.0.234 22 tcp E2-EH-AGN</v>
      </c>
    </row>
    <row r="70" spans="1:17" x14ac:dyDescent="0.3">
      <c r="A70" t="s">
        <v>12</v>
      </c>
      <c r="B70" t="s">
        <v>13</v>
      </c>
      <c r="C70" t="s">
        <v>151</v>
      </c>
      <c r="D70" t="s">
        <v>152</v>
      </c>
      <c r="E70" t="s">
        <v>281</v>
      </c>
      <c r="I70" t="s">
        <v>16</v>
      </c>
      <c r="J70">
        <v>22</v>
      </c>
      <c r="K70">
        <v>22</v>
      </c>
      <c r="M70" t="s">
        <v>314</v>
      </c>
      <c r="N70" t="str">
        <f t="shared" si="2"/>
        <v>get router info routing-table details 10.246.59.210 | grep -f *</v>
      </c>
      <c r="O70" t="s">
        <v>315</v>
      </c>
      <c r="P70" t="s">
        <v>317</v>
      </c>
      <c r="Q70" t="str">
        <f t="shared" si="3"/>
        <v>diagnose firewall iprope lookup 10.246.59.210 22 10.201.0.234 22 tcp E2-EH-AGN</v>
      </c>
    </row>
    <row r="71" spans="1:17" x14ac:dyDescent="0.3">
      <c r="A71" t="s">
        <v>12</v>
      </c>
      <c r="B71" t="s">
        <v>13</v>
      </c>
      <c r="C71" t="s">
        <v>153</v>
      </c>
      <c r="D71" t="s">
        <v>154</v>
      </c>
      <c r="E71" t="s">
        <v>282</v>
      </c>
      <c r="I71" t="s">
        <v>16</v>
      </c>
      <c r="J71">
        <v>22</v>
      </c>
      <c r="K71">
        <v>22</v>
      </c>
      <c r="M71" t="s">
        <v>314</v>
      </c>
      <c r="N71" t="str">
        <f t="shared" si="2"/>
        <v>get router info routing-table details 10.246.59.192 | grep -f *</v>
      </c>
      <c r="O71" t="s">
        <v>315</v>
      </c>
      <c r="P71" t="s">
        <v>317</v>
      </c>
      <c r="Q71" t="str">
        <f t="shared" si="3"/>
        <v>diagnose firewall iprope lookup 10.246.59.192 22 10.201.0.234 22 tcp E2-EH-AGN</v>
      </c>
    </row>
    <row r="72" spans="1:17" x14ac:dyDescent="0.3">
      <c r="A72" t="s">
        <v>12</v>
      </c>
      <c r="B72" t="s">
        <v>13</v>
      </c>
      <c r="C72" t="s">
        <v>155</v>
      </c>
      <c r="D72" t="s">
        <v>156</v>
      </c>
      <c r="E72" t="s">
        <v>283</v>
      </c>
      <c r="I72" t="s">
        <v>16</v>
      </c>
      <c r="J72">
        <v>22</v>
      </c>
      <c r="K72">
        <v>22</v>
      </c>
      <c r="M72" t="s">
        <v>314</v>
      </c>
      <c r="N72" t="str">
        <f t="shared" si="2"/>
        <v>get router info routing-table details 10.246.59.238 | grep -f *</v>
      </c>
      <c r="O72" t="s">
        <v>315</v>
      </c>
      <c r="P72" t="s">
        <v>317</v>
      </c>
      <c r="Q72" t="str">
        <f t="shared" si="3"/>
        <v>diagnose firewall iprope lookup 10.246.59.238 22 10.201.0.234 22 tcp E2-EH-AGN</v>
      </c>
    </row>
    <row r="73" spans="1:17" x14ac:dyDescent="0.3">
      <c r="A73" t="s">
        <v>12</v>
      </c>
      <c r="B73" t="s">
        <v>13</v>
      </c>
      <c r="C73" t="s">
        <v>157</v>
      </c>
      <c r="D73" t="s">
        <v>158</v>
      </c>
      <c r="E73" t="s">
        <v>284</v>
      </c>
      <c r="I73" t="s">
        <v>16</v>
      </c>
      <c r="J73">
        <v>22</v>
      </c>
      <c r="K73">
        <v>22</v>
      </c>
      <c r="M73" t="s">
        <v>314</v>
      </c>
      <c r="N73" t="str">
        <f t="shared" si="2"/>
        <v>get router info routing-table details 10.246.59.244 | grep -f *</v>
      </c>
      <c r="O73" t="s">
        <v>315</v>
      </c>
      <c r="P73" t="s">
        <v>317</v>
      </c>
      <c r="Q73" t="str">
        <f t="shared" si="3"/>
        <v>diagnose firewall iprope lookup 10.246.59.244 22 10.201.0.234 22 tcp E2-EH-AGN</v>
      </c>
    </row>
    <row r="74" spans="1:17" x14ac:dyDescent="0.3">
      <c r="A74" t="s">
        <v>12</v>
      </c>
      <c r="B74" t="s">
        <v>13</v>
      </c>
      <c r="C74" t="s">
        <v>159</v>
      </c>
      <c r="D74" t="s">
        <v>160</v>
      </c>
      <c r="E74" t="s">
        <v>285</v>
      </c>
      <c r="I74" t="s">
        <v>16</v>
      </c>
      <c r="J74">
        <v>22</v>
      </c>
      <c r="K74">
        <v>22</v>
      </c>
      <c r="M74" t="s">
        <v>314</v>
      </c>
      <c r="N74" t="str">
        <f t="shared" si="2"/>
        <v>get router info routing-table details 10.246.59.14 | grep -f *</v>
      </c>
      <c r="O74" t="s">
        <v>315</v>
      </c>
      <c r="P74" t="s">
        <v>317</v>
      </c>
      <c r="Q74" t="str">
        <f t="shared" si="3"/>
        <v>diagnose firewall iprope lookup 10.246.59.14 22 10.201.0.234 22 tcp E2-EH-AGN</v>
      </c>
    </row>
    <row r="75" spans="1:17" x14ac:dyDescent="0.3">
      <c r="A75" t="s">
        <v>12</v>
      </c>
      <c r="B75" t="s">
        <v>13</v>
      </c>
      <c r="C75" t="s">
        <v>161</v>
      </c>
      <c r="D75" t="s">
        <v>162</v>
      </c>
      <c r="E75" t="s">
        <v>286</v>
      </c>
      <c r="I75" t="s">
        <v>16</v>
      </c>
      <c r="J75">
        <v>22</v>
      </c>
      <c r="K75">
        <v>22</v>
      </c>
      <c r="M75" t="s">
        <v>314</v>
      </c>
      <c r="N75" t="str">
        <f t="shared" si="2"/>
        <v>get router info routing-table details 10.246.59.5 | grep -f *</v>
      </c>
      <c r="O75" t="s">
        <v>315</v>
      </c>
      <c r="P75" t="s">
        <v>317</v>
      </c>
      <c r="Q75" t="str">
        <f t="shared" si="3"/>
        <v>diagnose firewall iprope lookup 10.246.59.5 22 10.201.0.234 22 tcp E2-EH-AGN</v>
      </c>
    </row>
    <row r="76" spans="1:17" x14ac:dyDescent="0.3">
      <c r="A76" t="s">
        <v>12</v>
      </c>
      <c r="B76" t="s">
        <v>13</v>
      </c>
      <c r="C76" t="s">
        <v>163</v>
      </c>
      <c r="D76" t="s">
        <v>164</v>
      </c>
      <c r="E76" t="s">
        <v>287</v>
      </c>
      <c r="I76" t="s">
        <v>16</v>
      </c>
      <c r="J76">
        <v>22</v>
      </c>
      <c r="K76">
        <v>22</v>
      </c>
      <c r="M76" t="s">
        <v>314</v>
      </c>
      <c r="N76" t="str">
        <f t="shared" si="2"/>
        <v>get router info routing-table details 10.246.59.141 | grep -f *</v>
      </c>
      <c r="O76" t="s">
        <v>315</v>
      </c>
      <c r="P76" t="s">
        <v>317</v>
      </c>
      <c r="Q76" t="str">
        <f t="shared" si="3"/>
        <v>diagnose firewall iprope lookup 10.246.59.141 22 10.201.0.234 22 tcp E2-EH-AGN</v>
      </c>
    </row>
    <row r="77" spans="1:17" x14ac:dyDescent="0.3">
      <c r="A77" t="s">
        <v>12</v>
      </c>
      <c r="B77" t="s">
        <v>13</v>
      </c>
      <c r="C77" t="s">
        <v>165</v>
      </c>
      <c r="D77" t="s">
        <v>166</v>
      </c>
      <c r="E77" t="s">
        <v>288</v>
      </c>
      <c r="I77" t="s">
        <v>16</v>
      </c>
      <c r="J77">
        <v>22</v>
      </c>
      <c r="K77">
        <v>22</v>
      </c>
      <c r="M77" t="s">
        <v>314</v>
      </c>
      <c r="N77" t="str">
        <f t="shared" si="2"/>
        <v>get router info routing-table details 10.246.59.137 | grep -f *</v>
      </c>
      <c r="O77" t="s">
        <v>315</v>
      </c>
      <c r="P77" t="s">
        <v>317</v>
      </c>
      <c r="Q77" t="str">
        <f t="shared" si="3"/>
        <v>diagnose firewall iprope lookup 10.246.59.137 22 10.201.0.234 22 tcp E2-EH-AGN</v>
      </c>
    </row>
    <row r="78" spans="1:17" x14ac:dyDescent="0.3">
      <c r="A78" t="s">
        <v>12</v>
      </c>
      <c r="B78" t="s">
        <v>13</v>
      </c>
      <c r="C78" t="s">
        <v>167</v>
      </c>
      <c r="D78" t="s">
        <v>168</v>
      </c>
      <c r="E78" t="s">
        <v>289</v>
      </c>
      <c r="I78" t="s">
        <v>16</v>
      </c>
      <c r="J78">
        <v>22</v>
      </c>
      <c r="K78">
        <v>22</v>
      </c>
      <c r="M78" t="s">
        <v>314</v>
      </c>
      <c r="N78" t="str">
        <f t="shared" si="2"/>
        <v>get router info routing-table details 10.246.59.205 | grep -f *</v>
      </c>
      <c r="O78" t="s">
        <v>315</v>
      </c>
      <c r="P78" t="s">
        <v>317</v>
      </c>
      <c r="Q78" t="str">
        <f t="shared" si="3"/>
        <v>diagnose firewall iprope lookup 10.246.59.205 22 10.201.0.234 22 tcp E2-EH-AGN</v>
      </c>
    </row>
    <row r="79" spans="1:17" x14ac:dyDescent="0.3">
      <c r="A79" t="s">
        <v>12</v>
      </c>
      <c r="B79" t="s">
        <v>13</v>
      </c>
      <c r="C79" t="s">
        <v>169</v>
      </c>
      <c r="D79" t="s">
        <v>170</v>
      </c>
      <c r="E79" t="s">
        <v>290</v>
      </c>
      <c r="I79" t="s">
        <v>16</v>
      </c>
      <c r="J79">
        <v>22</v>
      </c>
      <c r="K79">
        <v>22</v>
      </c>
      <c r="M79" t="s">
        <v>314</v>
      </c>
      <c r="N79" t="str">
        <f t="shared" si="2"/>
        <v>get router info routing-table details 10.246.59.60 | grep -f *</v>
      </c>
      <c r="O79" t="s">
        <v>315</v>
      </c>
      <c r="P79" t="s">
        <v>317</v>
      </c>
      <c r="Q79" t="str">
        <f t="shared" si="3"/>
        <v>diagnose firewall iprope lookup 10.246.59.60 22 10.201.0.234 22 tcp E2-EH-AGN</v>
      </c>
    </row>
    <row r="80" spans="1:17" x14ac:dyDescent="0.3">
      <c r="A80" t="s">
        <v>12</v>
      </c>
      <c r="B80" t="s">
        <v>13</v>
      </c>
      <c r="C80" t="s">
        <v>171</v>
      </c>
      <c r="D80" t="s">
        <v>172</v>
      </c>
      <c r="E80" t="s">
        <v>291</v>
      </c>
      <c r="I80" t="s">
        <v>16</v>
      </c>
      <c r="J80">
        <v>22</v>
      </c>
      <c r="K80">
        <v>22</v>
      </c>
      <c r="M80" t="s">
        <v>314</v>
      </c>
      <c r="N80" t="str">
        <f t="shared" si="2"/>
        <v>get router info routing-table details 10.246.59.230 | grep -f *</v>
      </c>
      <c r="O80" t="s">
        <v>315</v>
      </c>
      <c r="P80" t="s">
        <v>317</v>
      </c>
      <c r="Q80" t="str">
        <f t="shared" si="3"/>
        <v>diagnose firewall iprope lookup 10.246.59.230 22 10.201.0.234 22 tcp E2-EH-AGN</v>
      </c>
    </row>
    <row r="81" spans="1:17" x14ac:dyDescent="0.3">
      <c r="A81" t="s">
        <v>12</v>
      </c>
      <c r="B81" t="s">
        <v>13</v>
      </c>
      <c r="C81" t="s">
        <v>173</v>
      </c>
      <c r="D81" t="s">
        <v>174</v>
      </c>
      <c r="E81" t="s">
        <v>292</v>
      </c>
      <c r="I81" t="s">
        <v>16</v>
      </c>
      <c r="J81">
        <v>22</v>
      </c>
      <c r="K81">
        <v>22</v>
      </c>
      <c r="M81" t="s">
        <v>314</v>
      </c>
      <c r="N81" t="str">
        <f t="shared" si="2"/>
        <v>get router info routing-table details 10.246.59.150 | grep -f *</v>
      </c>
      <c r="O81" t="s">
        <v>315</v>
      </c>
      <c r="P81" t="s">
        <v>317</v>
      </c>
      <c r="Q81" t="str">
        <f t="shared" si="3"/>
        <v>diagnose firewall iprope lookup 10.246.59.150 22 10.201.0.234 22 tcp E2-EH-AGN</v>
      </c>
    </row>
    <row r="82" spans="1:17" x14ac:dyDescent="0.3">
      <c r="A82" t="s">
        <v>12</v>
      </c>
      <c r="B82" t="s">
        <v>13</v>
      </c>
      <c r="C82" t="s">
        <v>175</v>
      </c>
      <c r="D82" t="s">
        <v>176</v>
      </c>
      <c r="E82" t="s">
        <v>293</v>
      </c>
      <c r="I82" t="s">
        <v>16</v>
      </c>
      <c r="J82">
        <v>22</v>
      </c>
      <c r="K82">
        <v>22</v>
      </c>
      <c r="M82" t="s">
        <v>314</v>
      </c>
      <c r="N82" t="str">
        <f t="shared" si="2"/>
        <v>get router info routing-table details 10.246.59.208 | grep -f *</v>
      </c>
      <c r="O82" t="s">
        <v>315</v>
      </c>
      <c r="P82" t="s">
        <v>317</v>
      </c>
      <c r="Q82" t="str">
        <f t="shared" si="3"/>
        <v>diagnose firewall iprope lookup 10.246.59.208 22 10.201.0.234 22 tcp E2-EH-AGN</v>
      </c>
    </row>
    <row r="83" spans="1:17" x14ac:dyDescent="0.3">
      <c r="A83" t="s">
        <v>12</v>
      </c>
      <c r="B83" t="s">
        <v>13</v>
      </c>
      <c r="C83" t="s">
        <v>177</v>
      </c>
      <c r="D83" t="s">
        <v>178</v>
      </c>
      <c r="E83" t="s">
        <v>294</v>
      </c>
      <c r="I83" t="s">
        <v>16</v>
      </c>
      <c r="J83">
        <v>22</v>
      </c>
      <c r="K83">
        <v>22</v>
      </c>
      <c r="M83" t="s">
        <v>314</v>
      </c>
      <c r="N83" t="str">
        <f t="shared" si="2"/>
        <v>get router info routing-table details 10.246.59.34 | grep -f *</v>
      </c>
      <c r="O83" t="s">
        <v>315</v>
      </c>
      <c r="P83" t="s">
        <v>317</v>
      </c>
      <c r="Q83" t="str">
        <f t="shared" si="3"/>
        <v>diagnose firewall iprope lookup 10.246.59.34 22 10.201.0.234 22 tcp E2-EH-AGN</v>
      </c>
    </row>
    <row r="84" spans="1:17" x14ac:dyDescent="0.3">
      <c r="A84" t="s">
        <v>12</v>
      </c>
      <c r="B84" t="s">
        <v>13</v>
      </c>
      <c r="C84" t="s">
        <v>179</v>
      </c>
      <c r="D84" t="s">
        <v>180</v>
      </c>
      <c r="E84" t="s">
        <v>295</v>
      </c>
      <c r="I84" t="s">
        <v>16</v>
      </c>
      <c r="J84">
        <v>22</v>
      </c>
      <c r="K84">
        <v>22</v>
      </c>
      <c r="M84" t="s">
        <v>314</v>
      </c>
      <c r="N84" t="str">
        <f t="shared" si="2"/>
        <v>get router info routing-table details 10.246.59.69 | grep -f *</v>
      </c>
      <c r="O84" t="s">
        <v>315</v>
      </c>
      <c r="P84" t="s">
        <v>317</v>
      </c>
      <c r="Q84" t="str">
        <f t="shared" si="3"/>
        <v>diagnose firewall iprope lookup 10.246.59.69 22 10.201.0.234 22 tcp E2-EH-AGN</v>
      </c>
    </row>
    <row r="85" spans="1:17" x14ac:dyDescent="0.3">
      <c r="A85" t="s">
        <v>12</v>
      </c>
      <c r="B85" t="s">
        <v>13</v>
      </c>
      <c r="C85" t="s">
        <v>181</v>
      </c>
      <c r="D85" t="s">
        <v>182</v>
      </c>
      <c r="E85" t="s">
        <v>296</v>
      </c>
      <c r="I85" t="s">
        <v>16</v>
      </c>
      <c r="J85">
        <v>22</v>
      </c>
      <c r="K85">
        <v>22</v>
      </c>
      <c r="M85" t="s">
        <v>314</v>
      </c>
      <c r="N85" t="str">
        <f t="shared" si="2"/>
        <v>get router info routing-table details 10.246.59.246 | grep -f *</v>
      </c>
      <c r="O85" t="s">
        <v>315</v>
      </c>
      <c r="P85" t="s">
        <v>317</v>
      </c>
      <c r="Q85" t="str">
        <f t="shared" si="3"/>
        <v>diagnose firewall iprope lookup 10.246.59.246 22 10.201.0.234 22 tcp E2-EH-AGN</v>
      </c>
    </row>
    <row r="86" spans="1:17" x14ac:dyDescent="0.3">
      <c r="A86" t="s">
        <v>12</v>
      </c>
      <c r="B86" t="s">
        <v>13</v>
      </c>
      <c r="C86" t="s">
        <v>183</v>
      </c>
      <c r="D86" t="s">
        <v>184</v>
      </c>
      <c r="E86" t="s">
        <v>297</v>
      </c>
      <c r="I86" t="s">
        <v>16</v>
      </c>
      <c r="J86">
        <v>22</v>
      </c>
      <c r="K86">
        <v>22</v>
      </c>
      <c r="M86" t="s">
        <v>314</v>
      </c>
      <c r="N86" t="str">
        <f t="shared" si="2"/>
        <v>get router info routing-table details 10.246.59.30 | grep -f *</v>
      </c>
      <c r="O86" t="s">
        <v>315</v>
      </c>
      <c r="P86" t="s">
        <v>317</v>
      </c>
      <c r="Q86" t="str">
        <f t="shared" si="3"/>
        <v>diagnose firewall iprope lookup 10.246.59.30 22 10.201.0.234 22 tcp E2-EH-AGN</v>
      </c>
    </row>
    <row r="87" spans="1:17" x14ac:dyDescent="0.3">
      <c r="A87" t="s">
        <v>12</v>
      </c>
      <c r="B87" t="s">
        <v>13</v>
      </c>
      <c r="C87" t="s">
        <v>185</v>
      </c>
      <c r="D87" t="s">
        <v>186</v>
      </c>
      <c r="E87" t="s">
        <v>298</v>
      </c>
      <c r="I87" t="s">
        <v>16</v>
      </c>
      <c r="J87">
        <v>22</v>
      </c>
      <c r="K87">
        <v>22</v>
      </c>
      <c r="M87" t="s">
        <v>314</v>
      </c>
      <c r="N87" t="str">
        <f t="shared" si="2"/>
        <v>get router info routing-table details 10.246.59.166 | grep -f *</v>
      </c>
      <c r="O87" t="s">
        <v>315</v>
      </c>
      <c r="P87" t="s">
        <v>317</v>
      </c>
      <c r="Q87" t="str">
        <f t="shared" si="3"/>
        <v>diagnose firewall iprope lookup 10.246.59.166 22 10.201.0.234 22 tcp E2-EH-AGN</v>
      </c>
    </row>
    <row r="88" spans="1:17" x14ac:dyDescent="0.3">
      <c r="A88" t="s">
        <v>12</v>
      </c>
      <c r="B88" t="s">
        <v>13</v>
      </c>
      <c r="C88" t="s">
        <v>187</v>
      </c>
      <c r="D88" t="s">
        <v>188</v>
      </c>
      <c r="E88" t="s">
        <v>299</v>
      </c>
      <c r="I88" t="s">
        <v>16</v>
      </c>
      <c r="J88">
        <v>22</v>
      </c>
      <c r="K88">
        <v>22</v>
      </c>
      <c r="M88" t="s">
        <v>314</v>
      </c>
      <c r="N88" t="str">
        <f t="shared" si="2"/>
        <v>get router info routing-table details 10.246.59.89 | grep -f *</v>
      </c>
      <c r="O88" t="s">
        <v>315</v>
      </c>
      <c r="P88" t="s">
        <v>317</v>
      </c>
      <c r="Q88" t="str">
        <f t="shared" si="3"/>
        <v>diagnose firewall iprope lookup 10.246.59.89 22 10.201.0.234 22 tcp E2-EH-AGN</v>
      </c>
    </row>
    <row r="89" spans="1:17" x14ac:dyDescent="0.3">
      <c r="A89" t="s">
        <v>12</v>
      </c>
      <c r="B89" t="s">
        <v>13</v>
      </c>
      <c r="C89" t="s">
        <v>189</v>
      </c>
      <c r="D89" t="s">
        <v>190</v>
      </c>
      <c r="E89" t="s">
        <v>300</v>
      </c>
      <c r="I89" t="s">
        <v>16</v>
      </c>
      <c r="J89">
        <v>22</v>
      </c>
      <c r="K89">
        <v>22</v>
      </c>
      <c r="M89" t="s">
        <v>314</v>
      </c>
      <c r="N89" t="str">
        <f t="shared" si="2"/>
        <v>get router info routing-table details 10.246.59.154 | grep -f *</v>
      </c>
      <c r="O89" t="s">
        <v>315</v>
      </c>
      <c r="P89" t="s">
        <v>317</v>
      </c>
      <c r="Q89" t="str">
        <f t="shared" si="3"/>
        <v>diagnose firewall iprope lookup 10.246.59.154 22 10.201.0.234 22 tcp E2-EH-AGN</v>
      </c>
    </row>
    <row r="90" spans="1:17" x14ac:dyDescent="0.3">
      <c r="A90" t="s">
        <v>12</v>
      </c>
      <c r="B90" t="s">
        <v>13</v>
      </c>
      <c r="C90" t="s">
        <v>191</v>
      </c>
      <c r="D90" t="s">
        <v>192</v>
      </c>
      <c r="E90" t="s">
        <v>301</v>
      </c>
      <c r="I90" t="s">
        <v>16</v>
      </c>
      <c r="J90">
        <v>22</v>
      </c>
      <c r="K90">
        <v>22</v>
      </c>
      <c r="M90" t="s">
        <v>314</v>
      </c>
      <c r="N90" t="str">
        <f t="shared" si="2"/>
        <v>get router info routing-table details 10.246.59.63 | grep -f *</v>
      </c>
      <c r="O90" t="s">
        <v>315</v>
      </c>
      <c r="P90" t="s">
        <v>317</v>
      </c>
      <c r="Q90" t="str">
        <f t="shared" si="3"/>
        <v>diagnose firewall iprope lookup 10.246.59.63 22 10.201.0.234 22 tcp E2-EH-AGN</v>
      </c>
    </row>
    <row r="91" spans="1:17" x14ac:dyDescent="0.3">
      <c r="A91" t="s">
        <v>12</v>
      </c>
      <c r="B91" t="s">
        <v>13</v>
      </c>
      <c r="C91" t="s">
        <v>193</v>
      </c>
      <c r="D91" t="s">
        <v>194</v>
      </c>
      <c r="E91" t="s">
        <v>302</v>
      </c>
      <c r="I91" t="s">
        <v>16</v>
      </c>
      <c r="J91">
        <v>22</v>
      </c>
      <c r="K91">
        <v>22</v>
      </c>
      <c r="M91" t="s">
        <v>314</v>
      </c>
      <c r="N91" t="str">
        <f t="shared" si="2"/>
        <v>get router info routing-table details 10.246.59.162 | grep -f *</v>
      </c>
      <c r="O91" t="s">
        <v>315</v>
      </c>
      <c r="P91" t="s">
        <v>317</v>
      </c>
      <c r="Q91" t="str">
        <f t="shared" si="3"/>
        <v>diagnose firewall iprope lookup 10.246.59.162 22 10.201.0.234 22 tcp E2-EH-AGN</v>
      </c>
    </row>
    <row r="92" spans="1:17" x14ac:dyDescent="0.3">
      <c r="A92" t="s">
        <v>12</v>
      </c>
      <c r="B92" t="s">
        <v>13</v>
      </c>
      <c r="C92" t="s">
        <v>195</v>
      </c>
      <c r="D92" t="s">
        <v>196</v>
      </c>
      <c r="E92" t="s">
        <v>303</v>
      </c>
      <c r="I92" t="s">
        <v>16</v>
      </c>
      <c r="J92">
        <v>22</v>
      </c>
      <c r="K92">
        <v>22</v>
      </c>
      <c r="M92" t="s">
        <v>314</v>
      </c>
      <c r="N92" t="str">
        <f t="shared" si="2"/>
        <v>get router info routing-table details 10.246.59.153 | grep -f *</v>
      </c>
      <c r="O92" t="s">
        <v>315</v>
      </c>
      <c r="P92" t="s">
        <v>317</v>
      </c>
      <c r="Q92" t="str">
        <f t="shared" si="3"/>
        <v>diagnose firewall iprope lookup 10.246.59.153 22 10.201.0.234 22 tcp E2-EH-AGN</v>
      </c>
    </row>
    <row r="93" spans="1:17" x14ac:dyDescent="0.3">
      <c r="A93" t="s">
        <v>12</v>
      </c>
      <c r="B93" t="s">
        <v>13</v>
      </c>
      <c r="C93" t="s">
        <v>197</v>
      </c>
      <c r="D93" t="s">
        <v>198</v>
      </c>
      <c r="E93" t="s">
        <v>304</v>
      </c>
      <c r="I93" t="s">
        <v>16</v>
      </c>
      <c r="J93">
        <v>22</v>
      </c>
      <c r="K93">
        <v>22</v>
      </c>
      <c r="M93" t="s">
        <v>314</v>
      </c>
      <c r="N93" t="str">
        <f t="shared" si="2"/>
        <v>get router info routing-table details 10.246.59.32 | grep -f *</v>
      </c>
      <c r="O93" t="s">
        <v>315</v>
      </c>
      <c r="P93" t="s">
        <v>317</v>
      </c>
      <c r="Q93" t="str">
        <f t="shared" si="3"/>
        <v>diagnose firewall iprope lookup 10.246.59.32 22 10.201.0.234 22 tcp E2-EH-AGN</v>
      </c>
    </row>
    <row r="94" spans="1:17" x14ac:dyDescent="0.3">
      <c r="A94" t="s">
        <v>12</v>
      </c>
      <c r="B94" t="s">
        <v>13</v>
      </c>
      <c r="C94" t="s">
        <v>199</v>
      </c>
      <c r="D94" t="s">
        <v>200</v>
      </c>
      <c r="E94" t="s">
        <v>305</v>
      </c>
      <c r="I94" t="s">
        <v>16</v>
      </c>
      <c r="J94">
        <v>22</v>
      </c>
      <c r="K94">
        <v>22</v>
      </c>
      <c r="M94" t="s">
        <v>314</v>
      </c>
      <c r="N94" t="str">
        <f t="shared" si="2"/>
        <v>get router info routing-table details 10.222.210.161 | grep -f *</v>
      </c>
      <c r="O94" t="s">
        <v>315</v>
      </c>
      <c r="P94" t="s">
        <v>318</v>
      </c>
      <c r="Q94" t="str">
        <f t="shared" si="3"/>
        <v>diagnose firewall iprope lookup 10.222.210.161 22 10.201.0.234 22 tcp E2-EH-VPN</v>
      </c>
    </row>
    <row r="95" spans="1:17" x14ac:dyDescent="0.3">
      <c r="A95" t="s">
        <v>12</v>
      </c>
      <c r="B95" t="s">
        <v>13</v>
      </c>
      <c r="C95" t="s">
        <v>201</v>
      </c>
      <c r="D95" t="s">
        <v>202</v>
      </c>
      <c r="E95" t="s">
        <v>306</v>
      </c>
      <c r="I95" t="s">
        <v>16</v>
      </c>
      <c r="J95">
        <v>22</v>
      </c>
      <c r="K95">
        <v>22</v>
      </c>
      <c r="M95" t="s">
        <v>314</v>
      </c>
      <c r="N95" t="str">
        <f t="shared" si="2"/>
        <v>get router info routing-table details 10.246.59.108 | grep -f *</v>
      </c>
      <c r="O95" t="s">
        <v>315</v>
      </c>
      <c r="P95" t="s">
        <v>317</v>
      </c>
      <c r="Q95" t="str">
        <f t="shared" si="3"/>
        <v>diagnose firewall iprope lookup 10.246.59.108 22 10.201.0.234 22 tcp E2-EH-AGN</v>
      </c>
    </row>
    <row r="96" spans="1:17" x14ac:dyDescent="0.3">
      <c r="A96" t="s">
        <v>12</v>
      </c>
      <c r="B96" t="s">
        <v>13</v>
      </c>
      <c r="C96" t="s">
        <v>203</v>
      </c>
      <c r="D96" t="s">
        <v>204</v>
      </c>
      <c r="E96" t="s">
        <v>307</v>
      </c>
      <c r="I96" t="s">
        <v>16</v>
      </c>
      <c r="J96">
        <v>22</v>
      </c>
      <c r="K96">
        <v>22</v>
      </c>
      <c r="M96" t="s">
        <v>314</v>
      </c>
      <c r="N96" t="str">
        <f t="shared" si="2"/>
        <v>get router info routing-table details 10.246.59.10 | grep -f *</v>
      </c>
      <c r="O96" t="s">
        <v>315</v>
      </c>
      <c r="P96" t="s">
        <v>317</v>
      </c>
      <c r="Q96" t="str">
        <f t="shared" si="3"/>
        <v>diagnose firewall iprope lookup 10.246.59.10 22 10.201.0.234 22 tcp E2-EH-AGN</v>
      </c>
    </row>
    <row r="97" spans="1:17" x14ac:dyDescent="0.3">
      <c r="A97" t="s">
        <v>12</v>
      </c>
      <c r="B97" t="s">
        <v>13</v>
      </c>
      <c r="C97" t="s">
        <v>205</v>
      </c>
      <c r="D97" t="s">
        <v>206</v>
      </c>
      <c r="E97" t="s">
        <v>308</v>
      </c>
      <c r="I97" t="s">
        <v>16</v>
      </c>
      <c r="J97">
        <v>22</v>
      </c>
      <c r="K97">
        <v>22</v>
      </c>
      <c r="M97" t="s">
        <v>314</v>
      </c>
      <c r="N97" t="str">
        <f t="shared" si="2"/>
        <v>get router info routing-table details 10.246.59.220 | grep -f *</v>
      </c>
      <c r="O97" t="s">
        <v>315</v>
      </c>
      <c r="P97" t="s">
        <v>317</v>
      </c>
      <c r="Q97" t="str">
        <f t="shared" si="3"/>
        <v>diagnose firewall iprope lookup 10.246.59.220 22 10.201.0.234 22 tcp E2-EH-AGN</v>
      </c>
    </row>
    <row r="98" spans="1:17" x14ac:dyDescent="0.3">
      <c r="A98" t="s">
        <v>12</v>
      </c>
      <c r="B98" t="s">
        <v>13</v>
      </c>
      <c r="C98" t="s">
        <v>207</v>
      </c>
      <c r="D98" t="s">
        <v>208</v>
      </c>
      <c r="E98" t="s">
        <v>309</v>
      </c>
      <c r="I98" t="s">
        <v>16</v>
      </c>
      <c r="J98">
        <v>22</v>
      </c>
      <c r="K98">
        <v>22</v>
      </c>
      <c r="M98" t="s">
        <v>314</v>
      </c>
      <c r="N98" t="str">
        <f t="shared" si="2"/>
        <v>get router info routing-table details 10.246.59.53 | grep -f *</v>
      </c>
      <c r="O98" t="s">
        <v>315</v>
      </c>
      <c r="P98" t="s">
        <v>317</v>
      </c>
      <c r="Q98" t="str">
        <f t="shared" si="3"/>
        <v>diagnose firewall iprope lookup 10.246.59.53 22 10.201.0.234 22 tcp E2-EH-AGN</v>
      </c>
    </row>
    <row r="99" spans="1:17" x14ac:dyDescent="0.3">
      <c r="A99" t="s">
        <v>12</v>
      </c>
      <c r="B99" t="s">
        <v>13</v>
      </c>
      <c r="C99" t="s">
        <v>209</v>
      </c>
      <c r="D99" t="s">
        <v>210</v>
      </c>
      <c r="E99" t="s">
        <v>310</v>
      </c>
      <c r="I99" t="s">
        <v>16</v>
      </c>
      <c r="J99">
        <v>22</v>
      </c>
      <c r="K99">
        <v>22</v>
      </c>
      <c r="M99" t="s">
        <v>314</v>
      </c>
      <c r="N99" t="str">
        <f t="shared" si="2"/>
        <v>get router info routing-table details 10.246.59.233 | grep -f *</v>
      </c>
      <c r="O99" t="s">
        <v>315</v>
      </c>
      <c r="P99" t="s">
        <v>317</v>
      </c>
      <c r="Q99" t="str">
        <f t="shared" si="3"/>
        <v>diagnose firewall iprope lookup 10.246.59.233 22 10.201.0.234 22 tcp E2-EH-AGN</v>
      </c>
    </row>
    <row r="100" spans="1:17" x14ac:dyDescent="0.3">
      <c r="A100" t="s">
        <v>12</v>
      </c>
      <c r="B100" t="s">
        <v>13</v>
      </c>
      <c r="C100" t="s">
        <v>211</v>
      </c>
      <c r="D100" t="s">
        <v>212</v>
      </c>
      <c r="E100" t="s">
        <v>311</v>
      </c>
      <c r="I100" t="s">
        <v>16</v>
      </c>
      <c r="J100">
        <v>22</v>
      </c>
      <c r="K100">
        <v>22</v>
      </c>
      <c r="M100" t="s">
        <v>314</v>
      </c>
      <c r="N100" t="str">
        <f t="shared" si="2"/>
        <v>get router info routing-table details 10.246.59.172 | grep -f *</v>
      </c>
      <c r="O100" t="s">
        <v>315</v>
      </c>
      <c r="P100" t="s">
        <v>317</v>
      </c>
      <c r="Q100" t="str">
        <f t="shared" si="3"/>
        <v>diagnose firewall iprope lookup 10.246.59.172 22 10.201.0.234 22 tcp E2-EH-AGN</v>
      </c>
    </row>
    <row r="101" spans="1:17" x14ac:dyDescent="0.3">
      <c r="A101" t="s">
        <v>12</v>
      </c>
      <c r="B101" t="s">
        <v>13</v>
      </c>
      <c r="C101" t="s">
        <v>213</v>
      </c>
      <c r="D101" t="s">
        <v>214</v>
      </c>
      <c r="E101" t="s">
        <v>312</v>
      </c>
      <c r="I101" t="s">
        <v>16</v>
      </c>
      <c r="J101">
        <v>22</v>
      </c>
      <c r="K101">
        <v>22</v>
      </c>
      <c r="M101" t="s">
        <v>314</v>
      </c>
      <c r="N101" t="str">
        <f t="shared" si="2"/>
        <v>get router info routing-table details 10.246.59.247 | grep -f *</v>
      </c>
      <c r="O101" t="s">
        <v>315</v>
      </c>
      <c r="P101" t="s">
        <v>317</v>
      </c>
      <c r="Q101" t="str">
        <f t="shared" si="3"/>
        <v>diagnose firewall iprope lookup 10.246.59.247 22 10.201.0.234 22 tcp E2-EH-AGN</v>
      </c>
    </row>
  </sheetData>
  <autoFilter ref="A1:Q101" xr:uid="{DD1F84B1-B6A8-4598-8A38-8E2DD038CC73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92A8A3-31A6-4B74-9513-BB070C5FF85B}">
  <dimension ref="A1:A299"/>
  <sheetViews>
    <sheetView topLeftCell="A280" workbookViewId="0">
      <selection activeCell="A301" sqref="A301"/>
    </sheetView>
  </sheetViews>
  <sheetFormatPr defaultRowHeight="14" x14ac:dyDescent="0.3"/>
  <cols>
    <col min="1" max="1" width="96.4140625" bestFit="1" customWidth="1"/>
  </cols>
  <sheetData>
    <row r="1" spans="1:1" x14ac:dyDescent="0.3">
      <c r="A1" t="s">
        <v>320</v>
      </c>
    </row>
    <row r="2" spans="1:1" x14ac:dyDescent="0.3">
      <c r="A2" t="s">
        <v>321</v>
      </c>
    </row>
    <row r="4" spans="1:1" x14ac:dyDescent="0.3">
      <c r="A4" t="s">
        <v>322</v>
      </c>
    </row>
    <row r="5" spans="1:1" x14ac:dyDescent="0.3">
      <c r="A5" t="s">
        <v>323</v>
      </c>
    </row>
    <row r="7" spans="1:1" x14ac:dyDescent="0.3">
      <c r="A7" t="s">
        <v>324</v>
      </c>
    </row>
    <row r="8" spans="1:1" x14ac:dyDescent="0.3">
      <c r="A8" t="s">
        <v>325</v>
      </c>
    </row>
    <row r="10" spans="1:1" x14ac:dyDescent="0.3">
      <c r="A10" t="s">
        <v>326</v>
      </c>
    </row>
    <row r="11" spans="1:1" x14ac:dyDescent="0.3">
      <c r="A11" t="s">
        <v>327</v>
      </c>
    </row>
    <row r="13" spans="1:1" x14ac:dyDescent="0.3">
      <c r="A13" t="s">
        <v>328</v>
      </c>
    </row>
    <row r="14" spans="1:1" x14ac:dyDescent="0.3">
      <c r="A14" t="s">
        <v>329</v>
      </c>
    </row>
    <row r="16" spans="1:1" x14ac:dyDescent="0.3">
      <c r="A16" t="s">
        <v>330</v>
      </c>
    </row>
    <row r="17" spans="1:1" x14ac:dyDescent="0.3">
      <c r="A17" t="s">
        <v>331</v>
      </c>
    </row>
    <row r="19" spans="1:1" x14ac:dyDescent="0.3">
      <c r="A19" t="s">
        <v>332</v>
      </c>
    </row>
    <row r="20" spans="1:1" x14ac:dyDescent="0.3">
      <c r="A20" t="s">
        <v>333</v>
      </c>
    </row>
    <row r="22" spans="1:1" x14ac:dyDescent="0.3">
      <c r="A22" t="s">
        <v>334</v>
      </c>
    </row>
    <row r="23" spans="1:1" x14ac:dyDescent="0.3">
      <c r="A23" t="s">
        <v>335</v>
      </c>
    </row>
    <row r="25" spans="1:1" x14ac:dyDescent="0.3">
      <c r="A25" t="s">
        <v>336</v>
      </c>
    </row>
    <row r="26" spans="1:1" x14ac:dyDescent="0.3">
      <c r="A26" t="s">
        <v>337</v>
      </c>
    </row>
    <row r="28" spans="1:1" x14ac:dyDescent="0.3">
      <c r="A28" t="s">
        <v>338</v>
      </c>
    </row>
    <row r="29" spans="1:1" x14ac:dyDescent="0.3">
      <c r="A29" t="s">
        <v>339</v>
      </c>
    </row>
    <row r="31" spans="1:1" x14ac:dyDescent="0.3">
      <c r="A31" t="s">
        <v>340</v>
      </c>
    </row>
    <row r="32" spans="1:1" x14ac:dyDescent="0.3">
      <c r="A32" t="s">
        <v>341</v>
      </c>
    </row>
    <row r="34" spans="1:1" x14ac:dyDescent="0.3">
      <c r="A34" t="s">
        <v>342</v>
      </c>
    </row>
    <row r="35" spans="1:1" x14ac:dyDescent="0.3">
      <c r="A35" t="s">
        <v>343</v>
      </c>
    </row>
    <row r="37" spans="1:1" x14ac:dyDescent="0.3">
      <c r="A37" t="s">
        <v>344</v>
      </c>
    </row>
    <row r="38" spans="1:1" x14ac:dyDescent="0.3">
      <c r="A38" t="s">
        <v>345</v>
      </c>
    </row>
    <row r="40" spans="1:1" x14ac:dyDescent="0.3">
      <c r="A40" t="s">
        <v>346</v>
      </c>
    </row>
    <row r="41" spans="1:1" x14ac:dyDescent="0.3">
      <c r="A41" t="s">
        <v>347</v>
      </c>
    </row>
    <row r="43" spans="1:1" x14ac:dyDescent="0.3">
      <c r="A43" t="s">
        <v>348</v>
      </c>
    </row>
    <row r="44" spans="1:1" x14ac:dyDescent="0.3">
      <c r="A44" t="s">
        <v>349</v>
      </c>
    </row>
    <row r="46" spans="1:1" x14ac:dyDescent="0.3">
      <c r="A46" t="s">
        <v>350</v>
      </c>
    </row>
    <row r="47" spans="1:1" x14ac:dyDescent="0.3">
      <c r="A47" t="s">
        <v>351</v>
      </c>
    </row>
    <row r="49" spans="1:1" x14ac:dyDescent="0.3">
      <c r="A49" t="s">
        <v>352</v>
      </c>
    </row>
    <row r="50" spans="1:1" x14ac:dyDescent="0.3">
      <c r="A50" t="s">
        <v>353</v>
      </c>
    </row>
    <row r="52" spans="1:1" x14ac:dyDescent="0.3">
      <c r="A52" t="s">
        <v>354</v>
      </c>
    </row>
    <row r="53" spans="1:1" x14ac:dyDescent="0.3">
      <c r="A53" t="s">
        <v>355</v>
      </c>
    </row>
    <row r="55" spans="1:1" x14ac:dyDescent="0.3">
      <c r="A55" t="s">
        <v>356</v>
      </c>
    </row>
    <row r="56" spans="1:1" x14ac:dyDescent="0.3">
      <c r="A56" t="s">
        <v>357</v>
      </c>
    </row>
    <row r="58" spans="1:1" x14ac:dyDescent="0.3">
      <c r="A58" t="s">
        <v>358</v>
      </c>
    </row>
    <row r="59" spans="1:1" x14ac:dyDescent="0.3">
      <c r="A59" t="s">
        <v>359</v>
      </c>
    </row>
    <row r="61" spans="1:1" x14ac:dyDescent="0.3">
      <c r="A61" t="s">
        <v>360</v>
      </c>
    </row>
    <row r="62" spans="1:1" x14ac:dyDescent="0.3">
      <c r="A62" t="s">
        <v>361</v>
      </c>
    </row>
    <row r="64" spans="1:1" x14ac:dyDescent="0.3">
      <c r="A64" t="s">
        <v>362</v>
      </c>
    </row>
    <row r="65" spans="1:1" x14ac:dyDescent="0.3">
      <c r="A65" t="s">
        <v>363</v>
      </c>
    </row>
    <row r="67" spans="1:1" x14ac:dyDescent="0.3">
      <c r="A67" t="s">
        <v>364</v>
      </c>
    </row>
    <row r="68" spans="1:1" x14ac:dyDescent="0.3">
      <c r="A68" t="s">
        <v>365</v>
      </c>
    </row>
    <row r="70" spans="1:1" x14ac:dyDescent="0.3">
      <c r="A70" t="s">
        <v>366</v>
      </c>
    </row>
    <row r="71" spans="1:1" x14ac:dyDescent="0.3">
      <c r="A71" t="s">
        <v>367</v>
      </c>
    </row>
    <row r="73" spans="1:1" x14ac:dyDescent="0.3">
      <c r="A73" t="s">
        <v>368</v>
      </c>
    </row>
    <row r="74" spans="1:1" x14ac:dyDescent="0.3">
      <c r="A74" t="s">
        <v>369</v>
      </c>
    </row>
    <row r="76" spans="1:1" x14ac:dyDescent="0.3">
      <c r="A76" t="s">
        <v>370</v>
      </c>
    </row>
    <row r="77" spans="1:1" x14ac:dyDescent="0.3">
      <c r="A77" t="s">
        <v>371</v>
      </c>
    </row>
    <row r="79" spans="1:1" x14ac:dyDescent="0.3">
      <c r="A79" t="s">
        <v>372</v>
      </c>
    </row>
    <row r="80" spans="1:1" x14ac:dyDescent="0.3">
      <c r="A80" t="s">
        <v>373</v>
      </c>
    </row>
    <row r="82" spans="1:1" x14ac:dyDescent="0.3">
      <c r="A82" t="s">
        <v>374</v>
      </c>
    </row>
    <row r="83" spans="1:1" x14ac:dyDescent="0.3">
      <c r="A83" t="s">
        <v>375</v>
      </c>
    </row>
    <row r="85" spans="1:1" x14ac:dyDescent="0.3">
      <c r="A85" t="s">
        <v>376</v>
      </c>
    </row>
    <row r="86" spans="1:1" x14ac:dyDescent="0.3">
      <c r="A86" t="s">
        <v>377</v>
      </c>
    </row>
    <row r="88" spans="1:1" x14ac:dyDescent="0.3">
      <c r="A88" t="s">
        <v>378</v>
      </c>
    </row>
    <row r="89" spans="1:1" x14ac:dyDescent="0.3">
      <c r="A89" t="s">
        <v>379</v>
      </c>
    </row>
    <row r="91" spans="1:1" x14ac:dyDescent="0.3">
      <c r="A91" t="s">
        <v>380</v>
      </c>
    </row>
    <row r="92" spans="1:1" x14ac:dyDescent="0.3">
      <c r="A92" t="s">
        <v>381</v>
      </c>
    </row>
    <row r="94" spans="1:1" x14ac:dyDescent="0.3">
      <c r="A94" t="s">
        <v>382</v>
      </c>
    </row>
    <row r="95" spans="1:1" x14ac:dyDescent="0.3">
      <c r="A95" t="s">
        <v>383</v>
      </c>
    </row>
    <row r="97" spans="1:1" x14ac:dyDescent="0.3">
      <c r="A97" t="s">
        <v>384</v>
      </c>
    </row>
    <row r="98" spans="1:1" x14ac:dyDescent="0.3">
      <c r="A98" t="s">
        <v>385</v>
      </c>
    </row>
    <row r="100" spans="1:1" x14ac:dyDescent="0.3">
      <c r="A100" t="s">
        <v>386</v>
      </c>
    </row>
    <row r="101" spans="1:1" x14ac:dyDescent="0.3">
      <c r="A101" t="s">
        <v>387</v>
      </c>
    </row>
    <row r="103" spans="1:1" x14ac:dyDescent="0.3">
      <c r="A103" t="s">
        <v>388</v>
      </c>
    </row>
    <row r="104" spans="1:1" x14ac:dyDescent="0.3">
      <c r="A104" t="s">
        <v>389</v>
      </c>
    </row>
    <row r="106" spans="1:1" x14ac:dyDescent="0.3">
      <c r="A106" t="s">
        <v>390</v>
      </c>
    </row>
    <row r="107" spans="1:1" x14ac:dyDescent="0.3">
      <c r="A107" t="s">
        <v>391</v>
      </c>
    </row>
    <row r="109" spans="1:1" x14ac:dyDescent="0.3">
      <c r="A109" t="s">
        <v>392</v>
      </c>
    </row>
    <row r="110" spans="1:1" x14ac:dyDescent="0.3">
      <c r="A110" t="s">
        <v>393</v>
      </c>
    </row>
    <row r="112" spans="1:1" x14ac:dyDescent="0.3">
      <c r="A112" t="s">
        <v>394</v>
      </c>
    </row>
    <row r="113" spans="1:1" x14ac:dyDescent="0.3">
      <c r="A113" t="s">
        <v>395</v>
      </c>
    </row>
    <row r="115" spans="1:1" x14ac:dyDescent="0.3">
      <c r="A115" t="s">
        <v>396</v>
      </c>
    </row>
    <row r="116" spans="1:1" x14ac:dyDescent="0.3">
      <c r="A116" t="s">
        <v>397</v>
      </c>
    </row>
    <row r="118" spans="1:1" x14ac:dyDescent="0.3">
      <c r="A118" t="s">
        <v>398</v>
      </c>
    </row>
    <row r="119" spans="1:1" x14ac:dyDescent="0.3">
      <c r="A119" t="s">
        <v>399</v>
      </c>
    </row>
    <row r="121" spans="1:1" x14ac:dyDescent="0.3">
      <c r="A121" t="s">
        <v>400</v>
      </c>
    </row>
    <row r="122" spans="1:1" x14ac:dyDescent="0.3">
      <c r="A122" t="s">
        <v>401</v>
      </c>
    </row>
    <row r="124" spans="1:1" x14ac:dyDescent="0.3">
      <c r="A124" t="s">
        <v>402</v>
      </c>
    </row>
    <row r="125" spans="1:1" x14ac:dyDescent="0.3">
      <c r="A125" t="s">
        <v>403</v>
      </c>
    </row>
    <row r="127" spans="1:1" x14ac:dyDescent="0.3">
      <c r="A127" t="s">
        <v>404</v>
      </c>
    </row>
    <row r="128" spans="1:1" x14ac:dyDescent="0.3">
      <c r="A128" t="s">
        <v>405</v>
      </c>
    </row>
    <row r="130" spans="1:1" x14ac:dyDescent="0.3">
      <c r="A130" t="s">
        <v>406</v>
      </c>
    </row>
    <row r="131" spans="1:1" x14ac:dyDescent="0.3">
      <c r="A131" t="s">
        <v>407</v>
      </c>
    </row>
    <row r="133" spans="1:1" x14ac:dyDescent="0.3">
      <c r="A133" t="s">
        <v>408</v>
      </c>
    </row>
    <row r="134" spans="1:1" x14ac:dyDescent="0.3">
      <c r="A134" t="s">
        <v>409</v>
      </c>
    </row>
    <row r="136" spans="1:1" x14ac:dyDescent="0.3">
      <c r="A136" t="s">
        <v>410</v>
      </c>
    </row>
    <row r="137" spans="1:1" x14ac:dyDescent="0.3">
      <c r="A137" t="s">
        <v>411</v>
      </c>
    </row>
    <row r="139" spans="1:1" x14ac:dyDescent="0.3">
      <c r="A139" t="s">
        <v>412</v>
      </c>
    </row>
    <row r="140" spans="1:1" x14ac:dyDescent="0.3">
      <c r="A140" t="s">
        <v>413</v>
      </c>
    </row>
    <row r="142" spans="1:1" x14ac:dyDescent="0.3">
      <c r="A142" t="s">
        <v>414</v>
      </c>
    </row>
    <row r="143" spans="1:1" x14ac:dyDescent="0.3">
      <c r="A143" t="s">
        <v>415</v>
      </c>
    </row>
    <row r="145" spans="1:1" x14ac:dyDescent="0.3">
      <c r="A145" t="s">
        <v>416</v>
      </c>
    </row>
    <row r="146" spans="1:1" x14ac:dyDescent="0.3">
      <c r="A146" t="s">
        <v>417</v>
      </c>
    </row>
    <row r="148" spans="1:1" x14ac:dyDescent="0.3">
      <c r="A148" t="s">
        <v>418</v>
      </c>
    </row>
    <row r="149" spans="1:1" x14ac:dyDescent="0.3">
      <c r="A149" t="s">
        <v>419</v>
      </c>
    </row>
    <row r="151" spans="1:1" x14ac:dyDescent="0.3">
      <c r="A151" t="s">
        <v>420</v>
      </c>
    </row>
    <row r="152" spans="1:1" x14ac:dyDescent="0.3">
      <c r="A152" t="s">
        <v>421</v>
      </c>
    </row>
    <row r="154" spans="1:1" x14ac:dyDescent="0.3">
      <c r="A154" t="s">
        <v>422</v>
      </c>
    </row>
    <row r="155" spans="1:1" x14ac:dyDescent="0.3">
      <c r="A155" t="s">
        <v>423</v>
      </c>
    </row>
    <row r="157" spans="1:1" x14ac:dyDescent="0.3">
      <c r="A157" t="s">
        <v>424</v>
      </c>
    </row>
    <row r="158" spans="1:1" x14ac:dyDescent="0.3">
      <c r="A158" t="s">
        <v>425</v>
      </c>
    </row>
    <row r="160" spans="1:1" x14ac:dyDescent="0.3">
      <c r="A160" t="s">
        <v>426</v>
      </c>
    </row>
    <row r="161" spans="1:1" x14ac:dyDescent="0.3">
      <c r="A161" t="s">
        <v>427</v>
      </c>
    </row>
    <row r="163" spans="1:1" x14ac:dyDescent="0.3">
      <c r="A163" t="s">
        <v>428</v>
      </c>
    </row>
    <row r="164" spans="1:1" x14ac:dyDescent="0.3">
      <c r="A164" t="s">
        <v>429</v>
      </c>
    </row>
    <row r="166" spans="1:1" x14ac:dyDescent="0.3">
      <c r="A166" t="s">
        <v>430</v>
      </c>
    </row>
    <row r="167" spans="1:1" x14ac:dyDescent="0.3">
      <c r="A167" t="s">
        <v>431</v>
      </c>
    </row>
    <row r="169" spans="1:1" x14ac:dyDescent="0.3">
      <c r="A169" t="s">
        <v>432</v>
      </c>
    </row>
    <row r="170" spans="1:1" x14ac:dyDescent="0.3">
      <c r="A170" t="s">
        <v>433</v>
      </c>
    </row>
    <row r="172" spans="1:1" x14ac:dyDescent="0.3">
      <c r="A172" t="s">
        <v>434</v>
      </c>
    </row>
    <row r="173" spans="1:1" x14ac:dyDescent="0.3">
      <c r="A173" t="s">
        <v>435</v>
      </c>
    </row>
    <row r="175" spans="1:1" x14ac:dyDescent="0.3">
      <c r="A175" t="s">
        <v>436</v>
      </c>
    </row>
    <row r="176" spans="1:1" x14ac:dyDescent="0.3">
      <c r="A176" t="s">
        <v>437</v>
      </c>
    </row>
    <row r="178" spans="1:1" x14ac:dyDescent="0.3">
      <c r="A178" t="s">
        <v>438</v>
      </c>
    </row>
    <row r="179" spans="1:1" x14ac:dyDescent="0.3">
      <c r="A179" t="s">
        <v>439</v>
      </c>
    </row>
    <row r="181" spans="1:1" x14ac:dyDescent="0.3">
      <c r="A181" t="s">
        <v>440</v>
      </c>
    </row>
    <row r="182" spans="1:1" x14ac:dyDescent="0.3">
      <c r="A182" t="s">
        <v>441</v>
      </c>
    </row>
    <row r="184" spans="1:1" x14ac:dyDescent="0.3">
      <c r="A184" t="s">
        <v>442</v>
      </c>
    </row>
    <row r="185" spans="1:1" x14ac:dyDescent="0.3">
      <c r="A185" t="s">
        <v>443</v>
      </c>
    </row>
    <row r="187" spans="1:1" x14ac:dyDescent="0.3">
      <c r="A187" t="s">
        <v>444</v>
      </c>
    </row>
    <row r="188" spans="1:1" x14ac:dyDescent="0.3">
      <c r="A188" t="s">
        <v>445</v>
      </c>
    </row>
    <row r="190" spans="1:1" x14ac:dyDescent="0.3">
      <c r="A190" t="s">
        <v>446</v>
      </c>
    </row>
    <row r="191" spans="1:1" x14ac:dyDescent="0.3">
      <c r="A191" t="s">
        <v>447</v>
      </c>
    </row>
    <row r="193" spans="1:1" x14ac:dyDescent="0.3">
      <c r="A193" t="s">
        <v>448</v>
      </c>
    </row>
    <row r="194" spans="1:1" x14ac:dyDescent="0.3">
      <c r="A194" t="s">
        <v>449</v>
      </c>
    </row>
    <row r="196" spans="1:1" x14ac:dyDescent="0.3">
      <c r="A196" t="s">
        <v>450</v>
      </c>
    </row>
    <row r="197" spans="1:1" x14ac:dyDescent="0.3">
      <c r="A197" t="s">
        <v>451</v>
      </c>
    </row>
    <row r="199" spans="1:1" x14ac:dyDescent="0.3">
      <c r="A199" t="s">
        <v>452</v>
      </c>
    </row>
    <row r="200" spans="1:1" x14ac:dyDescent="0.3">
      <c r="A200" t="s">
        <v>453</v>
      </c>
    </row>
    <row r="202" spans="1:1" x14ac:dyDescent="0.3">
      <c r="A202" t="s">
        <v>454</v>
      </c>
    </row>
    <row r="203" spans="1:1" x14ac:dyDescent="0.3">
      <c r="A203" t="s">
        <v>455</v>
      </c>
    </row>
    <row r="205" spans="1:1" x14ac:dyDescent="0.3">
      <c r="A205" t="s">
        <v>456</v>
      </c>
    </row>
    <row r="206" spans="1:1" x14ac:dyDescent="0.3">
      <c r="A206" t="s">
        <v>457</v>
      </c>
    </row>
    <row r="208" spans="1:1" x14ac:dyDescent="0.3">
      <c r="A208" t="s">
        <v>458</v>
      </c>
    </row>
    <row r="209" spans="1:1" x14ac:dyDescent="0.3">
      <c r="A209" t="s">
        <v>459</v>
      </c>
    </row>
    <row r="211" spans="1:1" x14ac:dyDescent="0.3">
      <c r="A211" t="s">
        <v>460</v>
      </c>
    </row>
    <row r="212" spans="1:1" x14ac:dyDescent="0.3">
      <c r="A212" t="s">
        <v>461</v>
      </c>
    </row>
    <row r="214" spans="1:1" x14ac:dyDescent="0.3">
      <c r="A214" t="s">
        <v>462</v>
      </c>
    </row>
    <row r="215" spans="1:1" x14ac:dyDescent="0.3">
      <c r="A215" t="s">
        <v>463</v>
      </c>
    </row>
    <row r="217" spans="1:1" x14ac:dyDescent="0.3">
      <c r="A217" t="s">
        <v>464</v>
      </c>
    </row>
    <row r="218" spans="1:1" x14ac:dyDescent="0.3">
      <c r="A218" t="s">
        <v>465</v>
      </c>
    </row>
    <row r="220" spans="1:1" x14ac:dyDescent="0.3">
      <c r="A220" t="s">
        <v>466</v>
      </c>
    </row>
    <row r="221" spans="1:1" x14ac:dyDescent="0.3">
      <c r="A221" t="s">
        <v>467</v>
      </c>
    </row>
    <row r="223" spans="1:1" x14ac:dyDescent="0.3">
      <c r="A223" t="s">
        <v>468</v>
      </c>
    </row>
    <row r="224" spans="1:1" x14ac:dyDescent="0.3">
      <c r="A224" t="s">
        <v>469</v>
      </c>
    </row>
    <row r="226" spans="1:1" x14ac:dyDescent="0.3">
      <c r="A226" t="s">
        <v>470</v>
      </c>
    </row>
    <row r="227" spans="1:1" x14ac:dyDescent="0.3">
      <c r="A227" t="s">
        <v>471</v>
      </c>
    </row>
    <row r="229" spans="1:1" x14ac:dyDescent="0.3">
      <c r="A229" t="s">
        <v>472</v>
      </c>
    </row>
    <row r="230" spans="1:1" x14ac:dyDescent="0.3">
      <c r="A230" t="s">
        <v>473</v>
      </c>
    </row>
    <row r="232" spans="1:1" x14ac:dyDescent="0.3">
      <c r="A232" t="s">
        <v>474</v>
      </c>
    </row>
    <row r="233" spans="1:1" x14ac:dyDescent="0.3">
      <c r="A233" t="s">
        <v>475</v>
      </c>
    </row>
    <row r="235" spans="1:1" x14ac:dyDescent="0.3">
      <c r="A235" t="s">
        <v>476</v>
      </c>
    </row>
    <row r="236" spans="1:1" x14ac:dyDescent="0.3">
      <c r="A236" t="s">
        <v>477</v>
      </c>
    </row>
    <row r="238" spans="1:1" x14ac:dyDescent="0.3">
      <c r="A238" t="s">
        <v>478</v>
      </c>
    </row>
    <row r="239" spans="1:1" x14ac:dyDescent="0.3">
      <c r="A239" t="s">
        <v>479</v>
      </c>
    </row>
    <row r="241" spans="1:1" x14ac:dyDescent="0.3">
      <c r="A241" t="s">
        <v>480</v>
      </c>
    </row>
    <row r="242" spans="1:1" x14ac:dyDescent="0.3">
      <c r="A242" t="s">
        <v>481</v>
      </c>
    </row>
    <row r="244" spans="1:1" x14ac:dyDescent="0.3">
      <c r="A244" t="s">
        <v>482</v>
      </c>
    </row>
    <row r="245" spans="1:1" x14ac:dyDescent="0.3">
      <c r="A245" t="s">
        <v>483</v>
      </c>
    </row>
    <row r="247" spans="1:1" x14ac:dyDescent="0.3">
      <c r="A247" t="s">
        <v>484</v>
      </c>
    </row>
    <row r="248" spans="1:1" x14ac:dyDescent="0.3">
      <c r="A248" t="s">
        <v>485</v>
      </c>
    </row>
    <row r="250" spans="1:1" x14ac:dyDescent="0.3">
      <c r="A250" t="s">
        <v>486</v>
      </c>
    </row>
    <row r="251" spans="1:1" x14ac:dyDescent="0.3">
      <c r="A251" t="s">
        <v>487</v>
      </c>
    </row>
    <row r="253" spans="1:1" x14ac:dyDescent="0.3">
      <c r="A253" t="s">
        <v>488</v>
      </c>
    </row>
    <row r="254" spans="1:1" x14ac:dyDescent="0.3">
      <c r="A254" t="s">
        <v>489</v>
      </c>
    </row>
    <row r="256" spans="1:1" x14ac:dyDescent="0.3">
      <c r="A256" t="s">
        <v>490</v>
      </c>
    </row>
    <row r="257" spans="1:1" x14ac:dyDescent="0.3">
      <c r="A257" t="s">
        <v>491</v>
      </c>
    </row>
    <row r="259" spans="1:1" x14ac:dyDescent="0.3">
      <c r="A259" t="s">
        <v>492</v>
      </c>
    </row>
    <row r="260" spans="1:1" x14ac:dyDescent="0.3">
      <c r="A260" t="s">
        <v>493</v>
      </c>
    </row>
    <row r="262" spans="1:1" x14ac:dyDescent="0.3">
      <c r="A262" t="s">
        <v>494</v>
      </c>
    </row>
    <row r="263" spans="1:1" x14ac:dyDescent="0.3">
      <c r="A263" t="s">
        <v>495</v>
      </c>
    </row>
    <row r="265" spans="1:1" x14ac:dyDescent="0.3">
      <c r="A265" t="s">
        <v>496</v>
      </c>
    </row>
    <row r="266" spans="1:1" x14ac:dyDescent="0.3">
      <c r="A266" t="s">
        <v>497</v>
      </c>
    </row>
    <row r="268" spans="1:1" x14ac:dyDescent="0.3">
      <c r="A268" t="s">
        <v>498</v>
      </c>
    </row>
    <row r="269" spans="1:1" x14ac:dyDescent="0.3">
      <c r="A269" t="s">
        <v>499</v>
      </c>
    </row>
    <row r="271" spans="1:1" x14ac:dyDescent="0.3">
      <c r="A271" t="s">
        <v>500</v>
      </c>
    </row>
    <row r="272" spans="1:1" x14ac:dyDescent="0.3">
      <c r="A272" t="s">
        <v>501</v>
      </c>
    </row>
    <row r="274" spans="1:1" x14ac:dyDescent="0.3">
      <c r="A274" t="s">
        <v>502</v>
      </c>
    </row>
    <row r="275" spans="1:1" x14ac:dyDescent="0.3">
      <c r="A275" t="s">
        <v>503</v>
      </c>
    </row>
    <row r="277" spans="1:1" x14ac:dyDescent="0.3">
      <c r="A277" t="s">
        <v>504</v>
      </c>
    </row>
    <row r="278" spans="1:1" x14ac:dyDescent="0.3">
      <c r="A278" t="s">
        <v>505</v>
      </c>
    </row>
    <row r="280" spans="1:1" x14ac:dyDescent="0.3">
      <c r="A280" t="s">
        <v>506</v>
      </c>
    </row>
    <row r="281" spans="1:1" x14ac:dyDescent="0.3">
      <c r="A281" t="s">
        <v>507</v>
      </c>
    </row>
    <row r="283" spans="1:1" x14ac:dyDescent="0.3">
      <c r="A283" t="s">
        <v>508</v>
      </c>
    </row>
    <row r="284" spans="1:1" x14ac:dyDescent="0.3">
      <c r="A284" t="s">
        <v>509</v>
      </c>
    </row>
    <row r="286" spans="1:1" x14ac:dyDescent="0.3">
      <c r="A286" t="s">
        <v>510</v>
      </c>
    </row>
    <row r="287" spans="1:1" x14ac:dyDescent="0.3">
      <c r="A287" t="s">
        <v>511</v>
      </c>
    </row>
    <row r="289" spans="1:1" x14ac:dyDescent="0.3">
      <c r="A289" t="s">
        <v>512</v>
      </c>
    </row>
    <row r="290" spans="1:1" x14ac:dyDescent="0.3">
      <c r="A290" t="s">
        <v>513</v>
      </c>
    </row>
    <row r="292" spans="1:1" x14ac:dyDescent="0.3">
      <c r="A292" t="s">
        <v>514</v>
      </c>
    </row>
    <row r="293" spans="1:1" x14ac:dyDescent="0.3">
      <c r="A293" t="s">
        <v>515</v>
      </c>
    </row>
    <row r="295" spans="1:1" x14ac:dyDescent="0.3">
      <c r="A295" t="s">
        <v>516</v>
      </c>
    </row>
    <row r="296" spans="1:1" x14ac:dyDescent="0.3">
      <c r="A296" t="s">
        <v>517</v>
      </c>
    </row>
    <row r="298" spans="1:1" x14ac:dyDescent="0.3">
      <c r="A298" t="s">
        <v>518</v>
      </c>
    </row>
    <row r="299" spans="1:1" x14ac:dyDescent="0.3">
      <c r="A299" t="s">
        <v>519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10.201.0.234_ads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TAWADE, Abhishek (EH:GROUP)</dc:creator>
  <cp:lastModifiedBy>Tawade, Abhishek (Allianz Trade, external)</cp:lastModifiedBy>
  <dcterms:created xsi:type="dcterms:W3CDTF">2025-12-15T08:38:51Z</dcterms:created>
  <dcterms:modified xsi:type="dcterms:W3CDTF">2025-12-15T13:20:08Z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5f591a-3248-43e9-9b70-1ad50135772d_Enabled">
    <vt:lpwstr>true</vt:lpwstr>
  </property>
  <property fmtid="{D5CDD505-2E9C-101B-9397-08002B2CF9AE}" pid="3" name="MSIP_Label_ce5f591a-3248-43e9-9b70-1ad50135772d_SetDate">
    <vt:lpwstr>2025-12-15T08:38:51Z</vt:lpwstr>
  </property>
  <property fmtid="{D5CDD505-2E9C-101B-9397-08002B2CF9AE}" pid="4" name="MSIP_Label_ce5f591a-3248-43e9-9b70-1ad50135772d_Method">
    <vt:lpwstr>Privileged</vt:lpwstr>
  </property>
  <property fmtid="{D5CDD505-2E9C-101B-9397-08002B2CF9AE}" pid="5" name="MSIP_Label_ce5f591a-3248-43e9-9b70-1ad50135772d_Name">
    <vt:lpwstr>ce5f591a-3248-43e9-9b70-1ad50135772d</vt:lpwstr>
  </property>
  <property fmtid="{D5CDD505-2E9C-101B-9397-08002B2CF9AE}" pid="6" name="MSIP_Label_ce5f591a-3248-43e9-9b70-1ad50135772d_SiteId">
    <vt:lpwstr>6e06e42d-6925-47c6-b9e7-9581c7ca302a</vt:lpwstr>
  </property>
  <property fmtid="{D5CDD505-2E9C-101B-9397-08002B2CF9AE}" pid="7" name="MSIP_Label_ce5f591a-3248-43e9-9b70-1ad50135772d_ActionId">
    <vt:lpwstr>4c1479ff-adfc-45c0-953e-e8ea76100233</vt:lpwstr>
  </property>
  <property fmtid="{D5CDD505-2E9C-101B-9397-08002B2CF9AE}" pid="8" name="MSIP_Label_ce5f591a-3248-43e9-9b70-1ad50135772d_ContentBits">
    <vt:lpwstr>0</vt:lpwstr>
  </property>
  <property fmtid="{D5CDD505-2E9C-101B-9397-08002B2CF9AE}" pid="9" name="MSIP_Label_ce5f591a-3248-43e9-9b70-1ad50135772d_Tag">
    <vt:lpwstr>10, 0, 1, 1</vt:lpwstr>
  </property>
</Properties>
</file>