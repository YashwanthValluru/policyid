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UTTA\Downloads\New folder (2)\"/>
    </mc:Choice>
  </mc:AlternateContent>
  <xr:revisionPtr revIDLastSave="0" documentId="13_ncr:1_{9876D4EF-F933-4392-993B-02A0CB4B6199}" xr6:coauthVersionLast="47" xr6:coauthVersionMax="47" xr10:uidLastSave="{00000000-0000-0000-0000-000000000000}"/>
  <bookViews>
    <workbookView xWindow="-110" yWindow="-110" windowWidth="19420" windowHeight="11500" activeTab="1" xr2:uid="{A33B7D8C-142A-4867-84BB-5658AB436735}"/>
  </bookViews>
  <sheets>
    <sheet name="10.201.0.61_ad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2" i="1"/>
  <c r="N2" i="1"/>
  <c r="N3" i="1"/>
  <c r="N4" i="1"/>
  <c r="N5" i="1"/>
  <c r="N6" i="1"/>
  <c r="N7" i="1"/>
  <c r="N8" i="1"/>
  <c r="N9" i="1"/>
  <c r="N10" i="1"/>
  <c r="N11" i="1"/>
  <c r="N12" i="1"/>
  <c r="N13" i="1"/>
</calcChain>
</file>

<file path=xl/sharedStrings.xml><?xml version="1.0" encoding="utf-8"?>
<sst xmlns="http://schemas.openxmlformats.org/spreadsheetml/2006/main" count="144" uniqueCount="67">
  <si>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</si>
  <si>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</si>
  <si>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</si>
  <si>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</si>
  <si>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</si>
  <si>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</si>
  <si>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</si>
  <si>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</si>
  <si>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</si>
  <si>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</si>
  <si>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</si>
  <si>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</si>
  <si>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</si>
  <si>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</si>
  <si>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</si>
  <si>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10.202.141.55</t>
  </si>
  <si>
    <t>tcp</t>
  </si>
  <si>
    <t>ads-rule-10002</t>
  </si>
  <si>
    <t>From ADS data. Allow from 10.201.3.196</t>
  </si>
  <si>
    <t>ads-rule-10003</t>
  </si>
  <si>
    <t>ads-rule-10004</t>
  </si>
  <si>
    <t>From ADS data. Allow from 10.202.141.218</t>
  </si>
  <si>
    <t>ads-rule-10005</t>
  </si>
  <si>
    <t>ads-rule-10006</t>
  </si>
  <si>
    <t>ads-rule-10007</t>
  </si>
  <si>
    <t>ads-rule-10008</t>
  </si>
  <si>
    <t>ads-rule-10009</t>
  </si>
  <si>
    <t>ads-rule-10010</t>
  </si>
  <si>
    <t>From ADS data. Allow from 10.72.42.11</t>
  </si>
  <si>
    <t>ads-rule-10011</t>
  </si>
  <si>
    <t>ads-rule-10012</t>
  </si>
  <si>
    <t>From ADS data. Allow from 10.202.141.42</t>
  </si>
  <si>
    <t>get router info routing-table details</t>
  </si>
  <si>
    <t xml:space="preserve">10.202.141.55 </t>
  </si>
  <si>
    <t xml:space="preserve">10.201.3.196 </t>
  </si>
  <si>
    <t xml:space="preserve">From ADS data. Allow ephemeral ports from 10.201.3.196 </t>
  </si>
  <si>
    <t xml:space="preserve">10.202.141.218 </t>
  </si>
  <si>
    <t xml:space="preserve">10.72.42.11 </t>
  </si>
  <si>
    <t xml:space="preserve">From ADS data. Allow ephemeral ports from 10.72.42.11 </t>
  </si>
  <si>
    <t xml:space="preserve">10.202.141.42 </t>
  </si>
  <si>
    <t>diagnose firewall iprope lookup</t>
  </si>
  <si>
    <t>E2-EH-AGN</t>
  </si>
  <si>
    <t>E2-EH-ADMOPE-1</t>
  </si>
  <si>
    <t>FR-E2-FW-EH-1-FNET $ diagnose firewall iprope lookup 10.202.141.55 445 10.201.0.61 445 tcp E2-EH-AGN</t>
  </si>
  <si>
    <t>&lt;src [10.202.141.55-445] dst [10.201.0.61-445] proto tcp dev E2-EH-AGN&gt; matches policy id: 4151</t>
  </si>
  <si>
    <t>FR-E2-FW-EH-1-FNET $ diagnose firewall iprope lookup 10.201.3.196 135 10.201.0.61 135 tcp E2-EH-ADMOPE-1</t>
  </si>
  <si>
    <t>&lt;src [10.201.3.196-135] dst [10.201.0.61-135] proto tcp dev E2-EH-ADMOPE-1&gt; matches policy id: 683</t>
  </si>
  <si>
    <t>FR-E2-FW-EH-1-FNET $ diagnose firewall iprope lookup 10.201.3.196 49152 10.201.0.61 65535 tcp E2-EH-ADMOPE-1</t>
  </si>
  <si>
    <t>&lt;src [10.201.3.196-49152] dst [10.201.0.61-65535] proto tcp dev E2-EH-ADMOPE-1&gt; matches policy id: 683</t>
  </si>
  <si>
    <t>FR-E2-FW-EH-1-FNET $ diagnose firewall iprope lookup 10.202.141.218 5985 10.201.0.61 5985 tcp E2-EH-AGN</t>
  </si>
  <si>
    <t>&lt;src [10.202.141.218-5985] dst [10.201.0.61-5985] proto tcp dev E2-EH-AGN&gt; matches policy id: 4151</t>
  </si>
  <si>
    <t>FR-E2-FW-EH-1-FNET $ diagnose firewall iprope lookup 10.202.141.218 80 10.201.0.61 80 tcp E2-EH-AGN</t>
  </si>
  <si>
    <t>&lt;src [10.202.141.218-80] dst [10.201.0.61-80] proto tcp dev E2-EH-AGN&gt; matches policy id: 4151</t>
  </si>
  <si>
    <t>FR-E2-FW-EH-1-FNET $ diagnose firewall iprope lookup 10.202.141.218 3389 10.201.0.61 3389 tcp E2-EH-AGN</t>
  </si>
  <si>
    <t>&lt;src [10.202.141.218-3389] dst [10.201.0.61-3389] proto tcp dev E2-EH-AGN&gt; matches policy id: 4151</t>
  </si>
  <si>
    <t>FR-E2-FW-EH-1-FNET $ diagnose firewall iprope lookup 10.202.141.218 443 10.201.0.61 443 tcp E2-EH-AGN</t>
  </si>
  <si>
    <t>&lt;src [10.202.141.218-443] dst [10.201.0.61-443] proto tcp dev E2-EH-AGN&gt; matches policy id: 4151</t>
  </si>
  <si>
    <t>FR-E2-FW-EH-1-FNET $ diagnose firewall iprope lookup 10.202.141.218 445 10.201.0.61 445 tcp E2-EH-AGN</t>
  </si>
  <si>
    <t>&lt;src [10.202.141.218-445] dst [10.201.0.61-445] proto tcp dev E2-EH-AGN&gt; matches policy id: 4151</t>
  </si>
  <si>
    <t>FR-E2-FW-EH-1-FNET $ diagnose firewall iprope lookup 10.202.141.218 47001 10.201.0.61 47001 tcp E2-EH-AGN</t>
  </si>
  <si>
    <t>&lt;src [10.202.141.218-47001] dst [10.201.0.61-47001] proto tcp dev E2-EH-AGN&gt; matches policy id: 4151</t>
  </si>
  <si>
    <t>FR-E2-FW-EH-1-FNET $ diagnose firewall iprope lookup 10.72.42.11 135 10.201.0.61 135 tcp E2-EH-AGN</t>
  </si>
  <si>
    <t>&lt;src [10.72.42.11-135] dst [10.201.0.61-135] proto tcp dev E2-EH-AGN&gt; matches policy id: 8870</t>
  </si>
  <si>
    <t>FR-E2-FW-EH-1-FNET $ diagnose firewall iprope lookup 10.72.42.11 49152 10.201.0.61 65535 tcp E2-EH-AGN</t>
  </si>
  <si>
    <t>&lt;src [10.72.42.11-49152] dst [10.201.0.61-65535] proto tcp dev E2-EH-AGN&gt; matches policy id: 8870</t>
  </si>
  <si>
    <t>FR-E2-FW-EH-1-FNET $ diagnose firewall iprope lookup 10.202.141.42 443 10.201.0.61 443 tcp E2-EH-AGN</t>
  </si>
  <si>
    <t>&lt;src [10.202.141.42-443] dst [10.201.0.61-443] proto tcp dev E2-EH-AGN&gt; matches policy id: 4151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</si>
</sst>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632D7-561F-445E-AE0D-F9E983D464E0}">
  <dimension ref="A1:R13"/>
  <sheetViews>
    <sheetView topLeftCell="N1" zoomScale="90" zoomScaleNormal="90" workbookViewId="0">
      <selection activeCell="P2" sqref="P2:P13"/>
    </sheetView>
  </sheetViews>
  <sheetFormatPr defaultRowHeight="14" x14ac:dyDescent="0.3"/>
  <cols>
    <col min="4" max="4" width="48.5" bestFit="1" customWidth="1"/>
    <col min="5" max="5" width="18.58203125" customWidth="1"/>
    <col min="13" max="13" width="27.83203125" customWidth="1"/>
    <col min="14" max="14" width="48.6640625" bestFit="1" customWidth="1"/>
    <col min="15" max="15" width="25.75" bestFit="1" customWidth="1"/>
    <col min="16" max="16" width="80.9140625" bestFit="1" customWidth="1"/>
    <col min="18" max="18" width="16.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8" x14ac:dyDescent="0.3">
      <c r="A2" t="s">
        <v>12</v>
      </c>
      <c r="B2" t="s">
        <v>13</v>
      </c>
      <c r="C2" t="s">
        <v>14</v>
      </c>
      <c r="D2" t="s">
        <v>15</v>
      </c>
      <c r="E2" t="s">
        <v>33</v>
      </c>
      <c r="I2" t="s">
        <v>16</v>
      </c>
      <c r="J2">
        <v>445</v>
      </c>
      <c r="K2">
        <v>445</v>
      </c>
      <c r="M2" t="s">
        <v>32</v>
      </c>
      <c r="N2" t="str">
        <f>_xlfn.CONCAT(M2," ",E2, "| grep -f *")</f>
        <v>get router info routing-table details 10.202.141.55 | grep -f *</v>
      </c>
      <c r="O2" t="s">
        <v>40</v>
      </c>
      <c r="P2" t="str">
        <f>_xlfn.CONCAT(O2," ",E2,"",J2," 10.201.0.61 ",K2, " tcp ",R2)</f>
        <v>diagnose firewall iprope lookup 10.202.141.55 445 10.201.0.61 445 tcp E2-EH-AGN</v>
      </c>
      <c r="R2" t="s">
        <v>41</v>
      </c>
    </row>
    <row r="3" spans="1:18" x14ac:dyDescent="0.3">
      <c r="A3" t="s">
        <v>12</v>
      </c>
      <c r="B3" t="s">
        <v>13</v>
      </c>
      <c r="C3" t="s">
        <v>17</v>
      </c>
      <c r="D3" t="s">
        <v>18</v>
      </c>
      <c r="E3" t="s">
        <v>34</v>
      </c>
      <c r="I3" t="s">
        <v>16</v>
      </c>
      <c r="J3">
        <v>135</v>
      </c>
      <c r="K3">
        <v>135</v>
      </c>
      <c r="M3" t="s">
        <v>32</v>
      </c>
      <c r="N3" t="str">
        <f t="shared" ref="N3:N13" si="0">_xlfn.CONCAT(M3," ",E3, "| grep -f *")</f>
        <v>get router info routing-table details 10.201.3.196 | grep -f *</v>
      </c>
      <c r="O3" t="s">
        <v>40</v>
      </c>
      <c r="P3" t="str">
        <f t="shared" ref="P3:P13" si="1">_xlfn.CONCAT(O3," ",E3,"",J3," 10.201.0.61 ",K3, " tcp ",R3)</f>
        <v>diagnose firewall iprope lookup 10.201.3.196 135 10.201.0.61 135 tcp E2-EH-ADMOPE-1</v>
      </c>
      <c r="R3" t="s">
        <v>42</v>
      </c>
    </row>
    <row r="4" spans="1:18" x14ac:dyDescent="0.3">
      <c r="A4" t="s">
        <v>12</v>
      </c>
      <c r="B4" t="s">
        <v>13</v>
      </c>
      <c r="C4" t="s">
        <v>19</v>
      </c>
      <c r="D4" t="s">
        <v>35</v>
      </c>
      <c r="E4" t="s">
        <v>34</v>
      </c>
      <c r="I4" t="s">
        <v>16</v>
      </c>
      <c r="J4">
        <v>49152</v>
      </c>
      <c r="K4">
        <v>65535</v>
      </c>
      <c r="M4" t="s">
        <v>32</v>
      </c>
      <c r="N4" t="str">
        <f t="shared" si="0"/>
        <v>get router info routing-table details 10.201.3.196 | grep -f *</v>
      </c>
      <c r="O4" t="s">
        <v>40</v>
      </c>
      <c r="P4" t="str">
        <f t="shared" si="1"/>
        <v>diagnose firewall iprope lookup 10.201.3.196 49152 10.201.0.61 65535 tcp E2-EH-ADMOPE-1</v>
      </c>
      <c r="R4" t="s">
        <v>42</v>
      </c>
    </row>
    <row r="5" spans="1:18" x14ac:dyDescent="0.3">
      <c r="A5" t="s">
        <v>12</v>
      </c>
      <c r="B5" t="s">
        <v>13</v>
      </c>
      <c r="C5" t="s">
        <v>20</v>
      </c>
      <c r="D5" t="s">
        <v>21</v>
      </c>
      <c r="E5" t="s">
        <v>36</v>
      </c>
      <c r="I5" t="s">
        <v>16</v>
      </c>
      <c r="J5">
        <v>5985</v>
      </c>
      <c r="K5">
        <v>5985</v>
      </c>
      <c r="M5" t="s">
        <v>32</v>
      </c>
      <c r="N5" t="str">
        <f t="shared" si="0"/>
        <v>get router info routing-table details 10.202.141.218 | grep -f *</v>
      </c>
      <c r="O5" t="s">
        <v>40</v>
      </c>
      <c r="P5" t="str">
        <f t="shared" si="1"/>
        <v>diagnose firewall iprope lookup 10.202.141.218 5985 10.201.0.61 5985 tcp E2-EH-AGN</v>
      </c>
      <c r="R5" t="s">
        <v>41</v>
      </c>
    </row>
    <row r="6" spans="1:18" x14ac:dyDescent="0.3">
      <c r="A6" t="s">
        <v>12</v>
      </c>
      <c r="B6" t="s">
        <v>13</v>
      </c>
      <c r="C6" t="s">
        <v>22</v>
      </c>
      <c r="D6" t="s">
        <v>21</v>
      </c>
      <c r="E6" t="s">
        <v>36</v>
      </c>
      <c r="I6" t="s">
        <v>16</v>
      </c>
      <c r="J6">
        <v>80</v>
      </c>
      <c r="K6">
        <v>80</v>
      </c>
      <c r="M6" t="s">
        <v>32</v>
      </c>
      <c r="N6" t="str">
        <f t="shared" si="0"/>
        <v>get router info routing-table details 10.202.141.218 | grep -f *</v>
      </c>
      <c r="O6" t="s">
        <v>40</v>
      </c>
      <c r="P6" t="str">
        <f t="shared" si="1"/>
        <v>diagnose firewall iprope lookup 10.202.141.218 80 10.201.0.61 80 tcp E2-EH-AGN</v>
      </c>
      <c r="R6" t="s">
        <v>41</v>
      </c>
    </row>
    <row r="7" spans="1:18" x14ac:dyDescent="0.3">
      <c r="A7" t="s">
        <v>12</v>
      </c>
      <c r="B7" t="s">
        <v>13</v>
      </c>
      <c r="C7" t="s">
        <v>23</v>
      </c>
      <c r="D7" t="s">
        <v>21</v>
      </c>
      <c r="E7" t="s">
        <v>36</v>
      </c>
      <c r="I7" t="s">
        <v>16</v>
      </c>
      <c r="J7">
        <v>3389</v>
      </c>
      <c r="K7">
        <v>3389</v>
      </c>
      <c r="M7" t="s">
        <v>32</v>
      </c>
      <c r="N7" t="str">
        <f t="shared" si="0"/>
        <v>get router info routing-table details 10.202.141.218 | grep -f *</v>
      </c>
      <c r="O7" t="s">
        <v>40</v>
      </c>
      <c r="P7" t="str">
        <f t="shared" si="1"/>
        <v>diagnose firewall iprope lookup 10.202.141.218 3389 10.201.0.61 3389 tcp E2-EH-AGN</v>
      </c>
      <c r="R7" t="s">
        <v>41</v>
      </c>
    </row>
    <row r="8" spans="1:18" x14ac:dyDescent="0.3">
      <c r="A8" t="s">
        <v>12</v>
      </c>
      <c r="B8" t="s">
        <v>13</v>
      </c>
      <c r="C8" t="s">
        <v>24</v>
      </c>
      <c r="D8" t="s">
        <v>21</v>
      </c>
      <c r="E8" t="s">
        <v>36</v>
      </c>
      <c r="I8" t="s">
        <v>16</v>
      </c>
      <c r="J8">
        <v>443</v>
      </c>
      <c r="K8">
        <v>443</v>
      </c>
      <c r="M8" t="s">
        <v>32</v>
      </c>
      <c r="N8" t="str">
        <f t="shared" si="0"/>
        <v>get router info routing-table details 10.202.141.218 | grep -f *</v>
      </c>
      <c r="O8" t="s">
        <v>40</v>
      </c>
      <c r="P8" t="str">
        <f t="shared" si="1"/>
        <v>diagnose firewall iprope lookup 10.202.141.218 443 10.201.0.61 443 tcp E2-EH-AGN</v>
      </c>
      <c r="R8" t="s">
        <v>41</v>
      </c>
    </row>
    <row r="9" spans="1:18" x14ac:dyDescent="0.3">
      <c r="A9" t="s">
        <v>12</v>
      </c>
      <c r="B9" t="s">
        <v>13</v>
      </c>
      <c r="C9" t="s">
        <v>25</v>
      </c>
      <c r="D9" t="s">
        <v>21</v>
      </c>
      <c r="E9" t="s">
        <v>36</v>
      </c>
      <c r="I9" t="s">
        <v>16</v>
      </c>
      <c r="J9">
        <v>445</v>
      </c>
      <c r="K9">
        <v>445</v>
      </c>
      <c r="M9" t="s">
        <v>32</v>
      </c>
      <c r="N9" t="str">
        <f t="shared" si="0"/>
        <v>get router info routing-table details 10.202.141.218 | grep -f *</v>
      </c>
      <c r="O9" t="s">
        <v>40</v>
      </c>
      <c r="P9" t="str">
        <f t="shared" si="1"/>
        <v>diagnose firewall iprope lookup 10.202.141.218 445 10.201.0.61 445 tcp E2-EH-AGN</v>
      </c>
      <c r="R9" t="s">
        <v>41</v>
      </c>
    </row>
    <row r="10" spans="1:18" x14ac:dyDescent="0.3">
      <c r="A10" t="s">
        <v>12</v>
      </c>
      <c r="B10" t="s">
        <v>13</v>
      </c>
      <c r="C10" t="s">
        <v>26</v>
      </c>
      <c r="D10" t="s">
        <v>21</v>
      </c>
      <c r="E10" t="s">
        <v>36</v>
      </c>
      <c r="I10" t="s">
        <v>16</v>
      </c>
      <c r="J10">
        <v>47001</v>
      </c>
      <c r="K10">
        <v>47001</v>
      </c>
      <c r="M10" t="s">
        <v>32</v>
      </c>
      <c r="N10" t="str">
        <f t="shared" si="0"/>
        <v>get router info routing-table details 10.202.141.218 | grep -f *</v>
      </c>
      <c r="O10" t="s">
        <v>40</v>
      </c>
      <c r="P10" t="str">
        <f t="shared" si="1"/>
        <v>diagnose firewall iprope lookup 10.202.141.218 47001 10.201.0.61 47001 tcp E2-EH-AGN</v>
      </c>
      <c r="R10" t="s">
        <v>41</v>
      </c>
    </row>
    <row r="11" spans="1:18" x14ac:dyDescent="0.3">
      <c r="A11" t="s">
        <v>12</v>
      </c>
      <c r="B11" t="s">
        <v>13</v>
      </c>
      <c r="C11" t="s">
        <v>27</v>
      </c>
      <c r="D11" t="s">
        <v>28</v>
      </c>
      <c r="E11" t="s">
        <v>37</v>
      </c>
      <c r="I11" t="s">
        <v>16</v>
      </c>
      <c r="J11">
        <v>135</v>
      </c>
      <c r="K11">
        <v>135</v>
      </c>
      <c r="M11" t="s">
        <v>32</v>
      </c>
      <c r="N11" t="str">
        <f t="shared" si="0"/>
        <v>get router info routing-table details 10.72.42.11 | grep -f *</v>
      </c>
      <c r="O11" t="s">
        <v>40</v>
      </c>
      <c r="P11" t="str">
        <f t="shared" si="1"/>
        <v>diagnose firewall iprope lookup 10.72.42.11 135 10.201.0.61 135 tcp E2-EH-AGN</v>
      </c>
      <c r="R11" t="s">
        <v>41</v>
      </c>
    </row>
    <row r="12" spans="1:18" x14ac:dyDescent="0.3">
      <c r="A12" t="s">
        <v>12</v>
      </c>
      <c r="B12" t="s">
        <v>13</v>
      </c>
      <c r="C12" t="s">
        <v>29</v>
      </c>
      <c r="D12" t="s">
        <v>38</v>
      </c>
      <c r="E12" t="s">
        <v>37</v>
      </c>
      <c r="I12" t="s">
        <v>16</v>
      </c>
      <c r="J12">
        <v>49152</v>
      </c>
      <c r="K12">
        <v>65535</v>
      </c>
      <c r="M12" t="s">
        <v>32</v>
      </c>
      <c r="N12" t="str">
        <f t="shared" si="0"/>
        <v>get router info routing-table details 10.72.42.11 | grep -f *</v>
      </c>
      <c r="O12" t="s">
        <v>40</v>
      </c>
      <c r="P12" t="str">
        <f t="shared" si="1"/>
        <v>diagnose firewall iprope lookup 10.72.42.11 49152 10.201.0.61 65535 tcp E2-EH-AGN</v>
      </c>
      <c r="R12" t="s">
        <v>41</v>
      </c>
    </row>
    <row r="13" spans="1:18" x14ac:dyDescent="0.3">
      <c r="A13" t="s">
        <v>12</v>
      </c>
      <c r="B13" t="s">
        <v>13</v>
      </c>
      <c r="C13" t="s">
        <v>30</v>
      </c>
      <c r="D13" t="s">
        <v>31</v>
      </c>
      <c r="E13" t="s">
        <v>39</v>
      </c>
      <c r="I13" t="s">
        <v>16</v>
      </c>
      <c r="J13">
        <v>443</v>
      </c>
      <c r="K13">
        <v>443</v>
      </c>
      <c r="M13" t="s">
        <v>32</v>
      </c>
      <c r="N13" t="str">
        <f t="shared" si="0"/>
        <v>get router info routing-table details 10.202.141.42 | grep -f *</v>
      </c>
      <c r="O13" t="s">
        <v>40</v>
      </c>
      <c r="P13" t="str">
        <f t="shared" si="1"/>
        <v>diagnose firewall iprope lookup 10.202.141.42 443 10.201.0.61 443 tcp E2-EH-AGN</v>
      </c>
      <c r="R13" t="s">
        <v>41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FD6C-9CAA-4323-9902-68A1120FB1AC}">
  <dimension ref="A1:A35"/>
  <sheetViews>
    <sheetView tabSelected="1" workbookViewId="0">
      <selection sqref="A1:A35"/>
    </sheetView>
  </sheetViews>
  <sheetFormatPr defaultRowHeight="14" x14ac:dyDescent="0.3"/>
  <cols>
    <col min="1" max="1" width="101.5" bestFit="1" customWidth="1"/>
  </cols>
  <sheetData>
    <row r="1" spans="1:1" x14ac:dyDescent="0.3">
      <c r="A1" t="s">
        <v>43</v>
      </c>
    </row>
    <row r="2" spans="1:1" x14ac:dyDescent="0.3">
      <c r="A2" t="s">
        <v>44</v>
      </c>
    </row>
    <row r="4" spans="1:1" x14ac:dyDescent="0.3">
      <c r="A4" t="s">
        <v>45</v>
      </c>
    </row>
    <row r="5" spans="1:1" x14ac:dyDescent="0.3">
      <c r="A5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10" spans="1:1" x14ac:dyDescent="0.3">
      <c r="A10" t="s">
        <v>49</v>
      </c>
    </row>
    <row r="11" spans="1:1" x14ac:dyDescent="0.3">
      <c r="A11" t="s">
        <v>50</v>
      </c>
    </row>
    <row r="13" spans="1:1" x14ac:dyDescent="0.3">
      <c r="A13" t="s">
        <v>51</v>
      </c>
    </row>
    <row r="14" spans="1:1" x14ac:dyDescent="0.3">
      <c r="A14" t="s">
        <v>52</v>
      </c>
    </row>
    <row r="16" spans="1:1" x14ac:dyDescent="0.3">
      <c r="A16" t="s">
        <v>53</v>
      </c>
    </row>
    <row r="17" spans="1:1" x14ac:dyDescent="0.3">
      <c r="A17" t="s">
        <v>54</v>
      </c>
    </row>
    <row r="19" spans="1:1" x14ac:dyDescent="0.3">
      <c r="A19" t="s">
        <v>55</v>
      </c>
    </row>
    <row r="20" spans="1:1" x14ac:dyDescent="0.3">
      <c r="A20" t="s">
        <v>56</v>
      </c>
    </row>
    <row r="22" spans="1:1" x14ac:dyDescent="0.3">
      <c r="A22" t="s">
        <v>57</v>
      </c>
    </row>
    <row r="23" spans="1:1" x14ac:dyDescent="0.3">
      <c r="A23" t="s">
        <v>58</v>
      </c>
    </row>
    <row r="25" spans="1:1" x14ac:dyDescent="0.3">
      <c r="A25" t="s">
        <v>59</v>
      </c>
    </row>
    <row r="26" spans="1:1" x14ac:dyDescent="0.3">
      <c r="A26" t="s">
        <v>60</v>
      </c>
    </row>
    <row r="28" spans="1:1" x14ac:dyDescent="0.3">
      <c r="A28" t="s">
        <v>61</v>
      </c>
    </row>
    <row r="29" spans="1:1" x14ac:dyDescent="0.3">
      <c r="A29" t="s">
        <v>62</v>
      </c>
    </row>
    <row r="31" spans="1:1" x14ac:dyDescent="0.3">
      <c r="A31" t="s">
        <v>63</v>
      </c>
    </row>
    <row r="32" spans="1:1" x14ac:dyDescent="0.3">
      <c r="A32" t="s">
        <v>64</v>
      </c>
    </row>
    <row r="34" spans="1:1" x14ac:dyDescent="0.3">
      <c r="A34" t="s">
        <v>65</v>
      </c>
    </row>
    <row r="35" spans="1:1" x14ac:dyDescent="0.3">
      <c r="A35" t="s">
        <v>66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10.201.0.61_ads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DUTTA, Swapnendu (EH:GROUP)</dc:creator>
  <cp:lastModifiedBy>Dutta, Swapnendu (Allianz Trade, external)</cp:lastModifiedBy>
  <dcterms:created xsi:type="dcterms:W3CDTF">2025-12-09T16:31:31Z</dcterms:created>
  <dcterms:modified xsi:type="dcterms:W3CDTF">2025-12-15T14:30:00Z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2025-12-09T16:31:31Z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6732b5e0-3edf-4ed5-95b2-5ad4765bf9b0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