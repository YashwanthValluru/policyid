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New folder (2)\"/>
    </mc:Choice>
  </mc:AlternateContent>
  <xr:revisionPtr revIDLastSave="0" documentId="13_ncr:1_{3EEB4C56-85B8-4FC9-A621-8D407543A130}" xr6:coauthVersionLast="47" xr6:coauthVersionMax="47" xr10:uidLastSave="{00000000-0000-0000-0000-000000000000}"/>
  <bookViews>
    <workbookView xWindow="-110" yWindow="-110" windowWidth="19420" windowHeight="11500" activeTab="1" xr2:uid="{5992CC4F-D383-460B-BE1E-46A8E4E0BDDD}"/>
  </bookViews>
  <sheets>
    <sheet name="10.201.0.69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" i="1"/>
</calcChain>
</file>

<file path=xl/sharedStrings.xml><?xml version="1.0" encoding="utf-8"?>
<sst xmlns="http://schemas.openxmlformats.org/spreadsheetml/2006/main" count="517" uniqueCount="227">
  <si>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</si>
  <si>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</si>
  <si>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</si>
  <si>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</si>
  <si>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</si>
  <si>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</si>
  <si>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</si>
  <si>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</si>
  <si>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</si>
  <si>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</si>
  <si>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</si>
  <si>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</si>
  <si>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</si>
  <si>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</si>
  <si>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</si>
  <si>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10.222.134.65</t>
  </si>
  <si>
    <t>tcp</t>
  </si>
  <si>
    <t>ads-rule-10002</t>
  </si>
  <si>
    <t>From ADS data. Allow from 10.201.32.39</t>
  </si>
  <si>
    <t>ads-rule-10004</t>
  </si>
  <si>
    <t>From ADS data. Allow from 10.222.130.89</t>
  </si>
  <si>
    <t>ads-rule-10005</t>
  </si>
  <si>
    <t>From ADS data. Allow from 10.201.48.55</t>
  </si>
  <si>
    <t>ads-rule-10006</t>
  </si>
  <si>
    <t>From ADS data. Allow from 10.201.3.52</t>
  </si>
  <si>
    <t>ads-rule-10007</t>
  </si>
  <si>
    <t>From ADS data. Allow from 10.72.42.5</t>
  </si>
  <si>
    <t>ads-rule-10017</t>
  </si>
  <si>
    <t>From ADS data. Allow from 10.202.165.156</t>
  </si>
  <si>
    <t>ads-rule-10018</t>
  </si>
  <si>
    <t>From ADS data. Allow from 10.201.3.245</t>
  </si>
  <si>
    <t>ads-rule-10020</t>
  </si>
  <si>
    <t>ads-rule-10022</t>
  </si>
  <si>
    <t>From ADS data. Allow from 10.201.48.51</t>
  </si>
  <si>
    <t>ads-rule-10023</t>
  </si>
  <si>
    <t>From ADS data. Allow from 10.222.73.167</t>
  </si>
  <si>
    <t>ads-rule-10024</t>
  </si>
  <si>
    <t>From ADS data. Allow from 10.222.130.84</t>
  </si>
  <si>
    <t>ads-rule-10025</t>
  </si>
  <si>
    <t>From ADS data. Allow from 44.168.32.144</t>
  </si>
  <si>
    <t>ads-rule-10026</t>
  </si>
  <si>
    <t>From ADS data. Allow from 10.222.128.67</t>
  </si>
  <si>
    <t>ads-rule-10027</t>
  </si>
  <si>
    <t>From ADS data. Allow from 10.222.130.86</t>
  </si>
  <si>
    <t>ads-rule-10029</t>
  </si>
  <si>
    <t>From ADS data. Allow from 10.222.65.162</t>
  </si>
  <si>
    <t>ads-rule-10031</t>
  </si>
  <si>
    <t>From ADS data. Allow from 10.222.65.221</t>
  </si>
  <si>
    <t>ads-rule-10032</t>
  </si>
  <si>
    <t>From ADS data. Allow from 10.201.48.11</t>
  </si>
  <si>
    <t>ads-rule-10033</t>
  </si>
  <si>
    <t>From ADS data. Allow from 10.201.48.56</t>
  </si>
  <si>
    <t>ads-rule-10034</t>
  </si>
  <si>
    <t>From ADS data. Allow from 44.168.32.145</t>
  </si>
  <si>
    <t>ads-rule-10035</t>
  </si>
  <si>
    <t>ads-rule-10036</t>
  </si>
  <si>
    <t>From ADS data. Allow from 10.222.65.136</t>
  </si>
  <si>
    <t>ads-rule-10038</t>
  </si>
  <si>
    <t>From ADS data. Allow from 10.222.65.102</t>
  </si>
  <si>
    <t>ads-rule-10039</t>
  </si>
  <si>
    <t>From ADS data. Allow from 10.222.134.52</t>
  </si>
  <si>
    <t>ads-rule-10040</t>
  </si>
  <si>
    <t>From ADS data. Allow from 10.201.49.68</t>
  </si>
  <si>
    <t>ads-rule-10041</t>
  </si>
  <si>
    <t>From ADS data. Allow from 10.222.131.164</t>
  </si>
  <si>
    <t>ads-rule-10043</t>
  </si>
  <si>
    <t>From ADS data. Allow from 10.201.49.41</t>
  </si>
  <si>
    <t>ads-rule-10044</t>
  </si>
  <si>
    <t>From ADS data. Allow from 10.222.128.68</t>
  </si>
  <si>
    <t>ads-rule-10045</t>
  </si>
  <si>
    <t>From ADS data. Allow from 10.222.73.68</t>
  </si>
  <si>
    <t>ads-rule-10046</t>
  </si>
  <si>
    <t>ads-rule-10049</t>
  </si>
  <si>
    <t>From ADS data. Allow from 10.222.64.241</t>
  </si>
  <si>
    <t>ads-rule-10050</t>
  </si>
  <si>
    <t>From ADS data. Allow from 10.201.48.242</t>
  </si>
  <si>
    <t>ads-rule-10051</t>
  </si>
  <si>
    <t>From ADS data. Allow from 10.222.66.7</t>
  </si>
  <si>
    <t>ads-rule-10052</t>
  </si>
  <si>
    <t>From ADS data. Allow from 44.119.8.158</t>
  </si>
  <si>
    <t>ads-rule-10053</t>
  </si>
  <si>
    <t>From ADS data. Allow from 10.222.133.66</t>
  </si>
  <si>
    <t>ads-rule-10054</t>
  </si>
  <si>
    <t>From ADS data. Allow from 10.222.65.90</t>
  </si>
  <si>
    <t>ads-rule-10055</t>
  </si>
  <si>
    <t>From ADS data. Allow from 10.222.128.184</t>
  </si>
  <si>
    <t>ads-rule-10056</t>
  </si>
  <si>
    <t>From ADS data. Allow from 10.222.131.119</t>
  </si>
  <si>
    <t>ads-rule-10057</t>
  </si>
  <si>
    <t>From ADS data. Allow from 10.222.132.91</t>
  </si>
  <si>
    <t>ads-rule-10058</t>
  </si>
  <si>
    <t>From ADS data. Allow from 10.222.65.237</t>
  </si>
  <si>
    <t>ads-rule-10059</t>
  </si>
  <si>
    <t>From ADS data. Allow from 10.222.74.9</t>
  </si>
  <si>
    <t>ads-rule-10060</t>
  </si>
  <si>
    <t>From ADS data. Allow from 10.222.129.0</t>
  </si>
  <si>
    <t>10.222.134.65</t>
  </si>
  <si>
    <t>10.201.32.39</t>
  </si>
  <si>
    <t>10.222.130.89</t>
  </si>
  <si>
    <t>10.201.48.55</t>
  </si>
  <si>
    <t>10.201.3.52</t>
  </si>
  <si>
    <t>10.72.42.5</t>
  </si>
  <si>
    <t>10.202.165.156</t>
  </si>
  <si>
    <t>10.201.3.245</t>
  </si>
  <si>
    <t>10.201.48.51</t>
  </si>
  <si>
    <t>10.222.73.167</t>
  </si>
  <si>
    <t>10.222.130.84</t>
  </si>
  <si>
    <t>44.168.32.144</t>
  </si>
  <si>
    <t>10.222.128.67</t>
  </si>
  <si>
    <t>10.222.130.86</t>
  </si>
  <si>
    <t>10.222.65.162</t>
  </si>
  <si>
    <t>10.222.65.221</t>
  </si>
  <si>
    <t>10.201.48.11</t>
  </si>
  <si>
    <t>10.201.48.56</t>
  </si>
  <si>
    <t>44.168.32.145</t>
  </si>
  <si>
    <t>10.222.65.136</t>
  </si>
  <si>
    <t>10.222.65.102</t>
  </si>
  <si>
    <t>10.222.134.52</t>
  </si>
  <si>
    <t>10.201.49.68</t>
  </si>
  <si>
    <t>10.222.131.164</t>
  </si>
  <si>
    <t>10.201.49.41</t>
  </si>
  <si>
    <t>10.222.128.68</t>
  </si>
  <si>
    <t>10.222.73.68</t>
  </si>
  <si>
    <t>10.222.64.241</t>
  </si>
  <si>
    <t>10.201.48.242</t>
  </si>
  <si>
    <t>10.222.66.7</t>
  </si>
  <si>
    <t>44.119.8.158</t>
  </si>
  <si>
    <t>10.222.133.66</t>
  </si>
  <si>
    <t>10.222.65.90</t>
  </si>
  <si>
    <t>10.222.128.184</t>
  </si>
  <si>
    <t>10.222.131.119</t>
  </si>
  <si>
    <t>10.222.132.91</t>
  </si>
  <si>
    <t>10.222.65.237</t>
  </si>
  <si>
    <t>10.222.74.9</t>
  </si>
  <si>
    <t>10.222.129.0</t>
  </si>
  <si>
    <t>get router info routing-table details</t>
  </si>
  <si>
    <t>diagnose firewall iprope lookup</t>
  </si>
  <si>
    <t>E2-EH-AGN</t>
  </si>
  <si>
    <t>E2-EH-PART</t>
  </si>
  <si>
    <t>E2-EH-VDI-EXT</t>
  </si>
  <si>
    <t>E2-EH-ADMOPE-1</t>
  </si>
  <si>
    <t>EH-VDI</t>
  </si>
  <si>
    <t>FR-E2-FW-EH-1-FNET $ diagnose firewall iprope lookup 10.222.134.65 22 10.201.0.69 22 tcp E2-EH-AGN</t>
  </si>
  <si>
    <t>&lt;src [10.222.134.65-22] dst [10.201.0.69-22] proto tcp dev E2-EH-AGN&gt; matches policy id: 4151</t>
  </si>
  <si>
    <t>FR-E2-FW-EH-1-FNET $ diagnose firewall iprope lookup 10.201.32.39 22 10.201.0.69 22 tcp E2-EH-PART</t>
  </si>
  <si>
    <t>&lt;src [10.201.32.39-22] dst [10.201.0.69-22] proto tcp dev E2-EH-PART&gt; matches policy id: 7644</t>
  </si>
  <si>
    <t>FR-E2-FW-EH-1-FNET $ diagnose firewall iprope lookup 10.222.130.89 22 10.201.0.69 22 tcp E2-EH-AGN</t>
  </si>
  <si>
    <t>&lt;src [10.222.130.89-22] dst [10.201.0.69-22] proto tcp dev E2-EH-AGN&gt; matches policy id: 4151</t>
  </si>
  <si>
    <t>FR-E2-FW-EH-1-FNET $ diagnose firewall iprope lookup 10.201.48.55 22 10.201.0.69 22 tcp E2-EH-VDI-EXT</t>
  </si>
  <si>
    <t>&lt;src [10.201.48.55-22] dst [10.201.0.69-22] proto tcp dev E2-EH-VDI-EXT&gt; matches policy id: 685</t>
  </si>
  <si>
    <t>FR-E2-FW-EH-1-FNET $ diagnose firewall iprope lookup 10.201.3.52 22 10.201.0.69 22 tcp E2-EH-ADMOPE-1</t>
  </si>
  <si>
    <t>&lt;src [10.201.3.52-22] dst [10.201.0.69-22] proto tcp dev E2-EH-ADMOPE-1&gt; matches policy id: 683</t>
  </si>
  <si>
    <t>FR-E2-FW-EH-1-FNET $ diagnose firewall iprope lookup 10.72.42.5 22 10.201.0.69 22 tcp E2-EH-AGN</t>
  </si>
  <si>
    <t>&lt;src [10.72.42.5-22] dst [10.201.0.69-22] proto tcp dev E2-EH-AGN&gt; matches policy id: 8870</t>
  </si>
  <si>
    <t>FR-E2-FW-EH-1-FNET $ diagnose firewall iprope lookup 10.202.165.156 22 10.201.0.69 22 tcp E2-EH-AGN</t>
  </si>
  <si>
    <t>&lt;src [10.202.165.156-22] dst [10.201.0.69-22] proto tcp dev E2-EH-AGN&gt; matches policy id: 4151</t>
  </si>
  <si>
    <t>FR-E2-FW-EH-1-FNET $ diagnose firewall iprope lookup 10.201.3.245 21111 10.201.0.69 21111 tcp E2-EH-ADMOPE-1</t>
  </si>
  <si>
    <t>&lt;src [10.201.3.245-21111] dst [10.201.0.69-21111] proto tcp dev E2-EH-ADMOPE-1&gt; matches policy id: 3647</t>
  </si>
  <si>
    <t>FR-E2-FW-EH-1-FNET $ diagnose firewall iprope lookup 10.201.3.245 22 10.201.0.69 22 tcp E2-EH-ADMOPE-1</t>
  </si>
  <si>
    <t>&lt;src [10.201.3.245-22] dst [10.201.0.69-22] proto tcp dev E2-EH-ADMOPE-1&gt; matches policy id: 683</t>
  </si>
  <si>
    <t>FR-E2-FW-EH-1-FNET $ diagnose firewall iprope lookup 10.201.48.51 22 10.201.0.69 22 tcp E2-EH-VDI-EXT</t>
  </si>
  <si>
    <t>&lt;src [10.201.48.51-22] dst [10.201.0.69-22] proto tcp dev E2-EH-VDI-EXT&gt; matches policy id: 685</t>
  </si>
  <si>
    <t>FR-E2-FW-EH-1-FNET $ diagnose firewall iprope lookup 10.222.73.167 22 10.201.0.69 22 tcp EH-VDI</t>
  </si>
  <si>
    <t>&lt;src [10.222.73.167-22] dst [10.201.0.69-22] proto tcp dev EH-VDI&gt; matches policy id: 4151</t>
  </si>
  <si>
    <t>FR-E2-FW-EH-1-FNET $ diagnose firewall iprope lookup 10.222.130.84 22 10.201.0.69 22 tcp E2-EH-AGN</t>
  </si>
  <si>
    <t>&lt;src [10.222.130.84-22] dst [10.201.0.69-22] proto tcp dev E2-EH-AGN&gt; matches policy id: 4151</t>
  </si>
  <si>
    <t>FR-E2-FW-EH-1-FNET $ diagnose firewall iprope lookup 44.168.32.144 22 10.201.0.69 22 tcp E2-EH-AGN</t>
  </si>
  <si>
    <t>&lt;src [44.168.32.144-22] dst [10.201.0.69-22] proto tcp dev E2-EH-AGN&gt; matches policy id: 4151</t>
  </si>
  <si>
    <t>FR-E2-FW-EH-1-FNET $ diagnose firewall iprope lookup 10.222.128.67 22 10.201.0.69 22 tcp E2-EH-AGN</t>
  </si>
  <si>
    <t>&lt;src [10.222.128.67-22] dst [10.201.0.69-22] proto tcp dev E2-EH-AGN&gt; matches policy id: 4151</t>
  </si>
  <si>
    <t>FR-E2-FW-EH-1-FNET $ diagnose firewall iprope lookup 10.222.130.86 22 10.201.0.69 22 tcp E2-EH-AGN</t>
  </si>
  <si>
    <t>&lt;src [10.222.130.86-22] dst [10.201.0.69-22] proto tcp dev E2-EH-AGN&gt; matches policy id: 4151</t>
  </si>
  <si>
    <t>FR-E2-FW-EH-1-FNET $ diagnose firewall iprope lookup 10.222.65.162 22 10.201.0.69 22 tcp EH-VDI</t>
  </si>
  <si>
    <t>&lt;src [10.222.65.162-22] dst [10.201.0.69-22] proto tcp dev EH-VDI&gt; matches policy id: 4151</t>
  </si>
  <si>
    <t>FR-E2-FW-EH-1-FNET $ diagnose firewall iprope lookup 10.222.65.221 22 10.201.0.69 22 tcp EH-VDI</t>
  </si>
  <si>
    <t>&lt;src [10.222.65.221-22] dst [10.201.0.69-22] proto tcp dev EH-VDI&gt; matches policy id: 4151</t>
  </si>
  <si>
    <t>FR-E2-FW-EH-1-FNET $ diagnose firewall iprope lookup 10.201.48.11 22 10.201.0.69 22 tcp E2-EH-VDI-EXT</t>
  </si>
  <si>
    <t>&lt;src [10.201.48.11-22] dst [10.201.0.69-22] proto tcp dev E2-EH-VDI-EXT&gt; matches policy id: 685</t>
  </si>
  <si>
    <t>FR-E2-FW-EH-1-FNET $ diagnose firewall iprope lookup 10.201.48.56 22 10.201.0.69 22 tcp E2-EH-VDI-EXT</t>
  </si>
  <si>
    <t>&lt;src [10.201.48.56-22] dst [10.201.0.69-22] proto tcp dev E2-EH-VDI-EXT&gt; matches policy id: 685</t>
  </si>
  <si>
    <t>FR-E2-FW-EH-1-FNET $ diagnose firewall iprope lookup 44.168.32.145 80 10.201.0.69 80 tcp E2-EH-AGN</t>
  </si>
  <si>
    <t>&lt;src [44.168.32.145-80] dst [10.201.0.69-80] proto tcp dev E2-EH-AGN&gt; matches policy id: 4151</t>
  </si>
  <si>
    <t>FR-E2-FW-EH-1-FNET $ diagnose firewall iprope lookup 44.168.32.145 22 10.201.0.69 22 tcp E2-EH-AGN</t>
  </si>
  <si>
    <t>&lt;src [44.168.32.145-22] dst [10.201.0.69-22] proto tcp dev E2-EH-AGN&gt; matches policy id: 4151</t>
  </si>
  <si>
    <t>FR-E2-FW-EH-1-FNET $ diagnose firewall iprope lookup 10.222.65.136 22 10.201.0.69 22 tcp E2-EH-AGN</t>
  </si>
  <si>
    <t>&lt;src [10.222.65.136-22] dst [10.201.0.69-22] proto tcp dev E2-EH-AGN&gt; matches policy id: 4151</t>
  </si>
  <si>
    <t>FR-E2-FW-EH-1-FNET $ diagnose firewall iprope lookup 10.222.65.102 22 10.201.0.69 22 tcp EH-VDI</t>
  </si>
  <si>
    <t>&lt;src [10.222.65.102-22] dst [10.201.0.69-22] proto tcp dev EH-VDI&gt; matches policy id: 4151</t>
  </si>
  <si>
    <t>FR-E2-FW-EH-1-FNET $ diagnose firewall iprope lookup 10.222.134.52 22 10.201.0.69 22 tcp E2-EH-AGN</t>
  </si>
  <si>
    <t>&lt;src [10.222.134.52-22] dst [10.201.0.69-22] proto tcp dev E2-EH-AGN&gt; matches policy id: 4151</t>
  </si>
  <si>
    <t>FR-E2-FW-EH-1-FNET $ diagnose firewall iprope lookup 10.201.49.68 22 10.201.0.69 22 tcp E2-EH-VDI-EXT</t>
  </si>
  <si>
    <t>&lt;src [10.201.49.68-22] dst [10.201.0.69-22] proto tcp dev E2-EH-VDI-EXT&gt; matches policy id: 685</t>
  </si>
  <si>
    <t>FR-E2-FW-EH-1-FNET $ diagnose firewall iprope lookup 10.222.131.164 22 10.201.0.69 22 tcp E2-EH-AGN</t>
  </si>
  <si>
    <t>&lt;src [10.222.131.164-22] dst [10.201.0.69-22] proto tcp dev E2-EH-AGN&gt; matches policy id: 4151</t>
  </si>
  <si>
    <t>FR-E2-FW-EH-1-FNET $ diagnose firewall iprope lookup 10.201.49.41 22 10.201.0.69 22 tcp E2-EH-VDI-EXT</t>
  </si>
  <si>
    <t>&lt;src [10.201.49.41-22] dst [10.201.0.69-22] proto tcp dev E2-EH-VDI-EXT&gt; matches policy id: 685</t>
  </si>
  <si>
    <t>FR-E2-FW-EH-1-FNET $ diagnose firewall iprope lookup 10.222.128.68 8081 10.201.0.69 8081 tcp E2-EH-AGN</t>
  </si>
  <si>
    <t>&lt;src [10.222.128.68-8081] dst [10.201.0.69-8081] proto tcp dev E2-EH-AGN&gt; matches policy id: 4151</t>
  </si>
  <si>
    <t>FR-E2-FW-EH-1-FNET $ diagnose firewall iprope lookup 10.222.73.68 22 10.201.0.69 22 tcp EH-VDI</t>
  </si>
  <si>
    <t>&lt;src [10.222.73.68-22] dst [10.201.0.69-22] proto tcp dev EH-VDI&gt; matches policy id: 4151</t>
  </si>
  <si>
    <t>FR-E2-FW-EH-1-FNET $ diagnose firewall iprope lookup 10.222.73.68 8081 10.201.0.69 8081 tcp EH-VDI</t>
  </si>
  <si>
    <t>&lt;src [10.222.73.68-8081] dst [10.201.0.69-8081] proto tcp dev EH-VDI&gt; matches policy id: 4151</t>
  </si>
  <si>
    <t>FR-E2-FW-EH-1-FNET $ diagnose firewall iprope lookup 10.222.64.241 22 10.201.0.69 22 tcp EH-VDI</t>
  </si>
  <si>
    <t>&lt;src [10.222.64.241-22] dst [10.201.0.69-22] proto tcp dev EH-VDI&gt; matches policy id: 4151</t>
  </si>
  <si>
    <t>FR-E2-FW-EH-1-FNET $ diagnose firewall iprope lookup 10.201.48.242 22 10.201.0.69 22 tcp E2-EH-VDI-EXT</t>
  </si>
  <si>
    <t>&lt;src [10.201.48.242-22] dst [10.201.0.69-22] proto tcp dev E2-EH-VDI-EXT&gt; matches policy id: 685</t>
  </si>
  <si>
    <t>FR-E2-FW-EH-1-FNET $ diagnose firewall iprope lookup 10.222.66.7 22 10.201.0.69 22 tcp EH-VDI</t>
  </si>
  <si>
    <t>&lt;src [10.222.66.7-22] dst [10.201.0.69-22] proto tcp dev EH-VDI&gt; matches policy id: 4151</t>
  </si>
  <si>
    <t>FR-E2-FW-EH-1-FNET $ diagnose firewall iprope lookup 44.119.8.158 22 10.201.0.69 22 tcp E2-EH-AGN</t>
  </si>
  <si>
    <t>&lt;src [44.119.8.158-22] dst [10.201.0.69-22] proto tcp dev E2-EH-AGN&gt; matches policy id: 8184</t>
  </si>
  <si>
    <t>FR-E2-FW-EH-1-FNET $ diagnose firewall iprope lookup 10.222.133.66 22 10.201.0.69 22 tcp E2-EH-AGN</t>
  </si>
  <si>
    <t>&lt;src [10.222.133.66-22] dst [10.201.0.69-22] proto tcp dev E2-EH-AGN&gt; matches policy id: 4151</t>
  </si>
  <si>
    <t>FR-E2-FW-EH-1-FNET $ diagnose firewall iprope lookup 10.222.65.90 22 10.201.0.69 22 tcp EH-VDI</t>
  </si>
  <si>
    <t>&lt;src [10.222.65.90-22] dst [10.201.0.69-22] proto tcp dev EH-VDI&gt; matches policy id: 4151</t>
  </si>
  <si>
    <t>FR-E2-FW-EH-1-FNET $ diagnose firewall iprope lookup 10.222.128.184 22 10.201.0.69 22 tcp E2-EH-AGN</t>
  </si>
  <si>
    <t>&lt;src [10.222.128.184-22] dst [10.201.0.69-22] proto tcp dev E2-EH-AGN&gt; matches policy id: 4151</t>
  </si>
  <si>
    <t>FR-E2-FW-EH-1-FNET $ diagnose firewall iprope lookup 10.222.131.119 22 10.201.0.69 22 tcp E2-EH-AGN</t>
  </si>
  <si>
    <t>&lt;src [10.222.131.119-22] dst [10.201.0.69-22] proto tcp dev E2-EH-AGN&gt; matches policy id: 4151</t>
  </si>
  <si>
    <t>FR-E2-FW-EH-1-FNET $ diagnose firewall iprope lookup 10.222.132.91 22 10.201.0.69 22 tcp E2-EH-AGN</t>
  </si>
  <si>
    <t>&lt;src [10.222.132.91-22] dst [10.201.0.69-22] proto tcp dev E2-EH-AGN&gt; matches policy id: 4151</t>
  </si>
  <si>
    <t>FR-E2-FW-EH-1-FNET $ diagnose firewall iprope lookup 10.222.65.237 22 10.201.0.69 22 tcp EH-VDI</t>
  </si>
  <si>
    <t>&lt;src [10.222.65.237-22] dst [10.201.0.69-22] proto tcp dev EH-VDI&gt; matches policy id: 4151</t>
  </si>
  <si>
    <t>FR-E2-FW-EH-1-FNET $ diagnose firewall iprope lookup 10.222.74.9 22 10.201.0.69 22 tcp EH-VDI</t>
  </si>
  <si>
    <t>&lt;src [10.222.74.9-22] dst [10.201.0.69-22] proto tcp dev EH-VDI&gt; matches policy id: 4151</t>
  </si>
  <si>
    <t>FR-E2-FW-EH-1-FNET $ diagnose firewall iprope lookup 10.222.129.0 22 10.201.0.69 22 tcp E2-EH-AGN</t>
  </si>
  <si>
    <t>&lt;src [10.222.129.0-22] dst [10.201.0.69-22] proto tcp dev E2-EH-AGN&gt; matches policy id: 4151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</si>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</sst>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9C92-9A93-499B-BD88-E6447A275686}">
  <dimension ref="A1:R43"/>
  <sheetViews>
    <sheetView topLeftCell="N31" zoomScale="80" zoomScaleNormal="80" workbookViewId="0">
      <selection activeCell="R43" sqref="R2:R43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9.75" bestFit="1" customWidth="1"/>
    <col min="14" max="14" width="50.08203125" bestFit="1" customWidth="1"/>
    <col min="15" max="15" width="27.08203125" bestFit="1" customWidth="1"/>
    <col min="16" max="16" width="16.83203125" bestFit="1" customWidth="1"/>
    <col min="17" max="17" width="27.08203125" bestFit="1" customWidth="1"/>
    <col min="18" max="18" width="8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96</v>
      </c>
      <c r="I2" t="s">
        <v>16</v>
      </c>
      <c r="J2">
        <v>22</v>
      </c>
      <c r="K2">
        <v>22</v>
      </c>
      <c r="M2" t="s">
        <v>135</v>
      </c>
      <c r="N2" t="str">
        <f>_xlfn.CONCAT(M2," ",E2, " | grep -f *")</f>
        <v>get router info routing-table details 10.222.134.65 | grep -f *</v>
      </c>
      <c r="O2" t="s">
        <v>136</v>
      </c>
      <c r="P2" t="s">
        <v>137</v>
      </c>
      <c r="Q2" t="s">
        <v>136</v>
      </c>
      <c r="R2" t="str">
        <f>_xlfn.CONCAT(Q2," ", E2, " ",J2," 10.201.0.69 ",K2," tcp ",P2 )</f>
        <v>diagnose firewall iprope lookup 10.222.134.65 22 10.201.0.69 22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97</v>
      </c>
      <c r="I3" t="s">
        <v>16</v>
      </c>
      <c r="J3">
        <v>22</v>
      </c>
      <c r="K3">
        <v>22</v>
      </c>
      <c r="M3" t="s">
        <v>135</v>
      </c>
      <c r="N3" t="str">
        <f t="shared" ref="N3:N43" si="0">_xlfn.CONCAT(M3," ",E3, " | grep -f *")</f>
        <v>get router info routing-table details 10.201.32.39 | grep -f *</v>
      </c>
      <c r="O3" t="s">
        <v>136</v>
      </c>
      <c r="P3" t="s">
        <v>138</v>
      </c>
      <c r="Q3" t="s">
        <v>136</v>
      </c>
      <c r="R3" t="str">
        <f t="shared" ref="R3:R43" si="1">_xlfn.CONCAT(Q3," ", E3, " ",J3," 10.201.0.69 ",K3," tcp ",P3 )</f>
        <v>diagnose firewall iprope lookup 10.201.32.39 22 10.201.0.69 22 tcp E2-EH-PART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98</v>
      </c>
      <c r="I4" t="s">
        <v>16</v>
      </c>
      <c r="J4">
        <v>22</v>
      </c>
      <c r="K4">
        <v>22</v>
      </c>
      <c r="M4" t="s">
        <v>135</v>
      </c>
      <c r="N4" t="str">
        <f t="shared" si="0"/>
        <v>get router info routing-table details 10.222.130.89 | grep -f *</v>
      </c>
      <c r="O4" t="s">
        <v>136</v>
      </c>
      <c r="P4" t="s">
        <v>137</v>
      </c>
      <c r="Q4" t="s">
        <v>136</v>
      </c>
      <c r="R4" t="str">
        <f t="shared" si="1"/>
        <v>diagnose firewall iprope lookup 10.222.130.89 22 10.201.0.69 22 tcp E2-EH-AGN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99</v>
      </c>
      <c r="I5" t="s">
        <v>16</v>
      </c>
      <c r="J5">
        <v>22</v>
      </c>
      <c r="K5">
        <v>22</v>
      </c>
      <c r="M5" t="s">
        <v>135</v>
      </c>
      <c r="N5" t="str">
        <f t="shared" si="0"/>
        <v>get router info routing-table details 10.201.48.55 | grep -f *</v>
      </c>
      <c r="O5" t="s">
        <v>136</v>
      </c>
      <c r="P5" t="s">
        <v>139</v>
      </c>
      <c r="Q5" t="s">
        <v>136</v>
      </c>
      <c r="R5" t="str">
        <f t="shared" si="1"/>
        <v>diagnose firewall iprope lookup 10.201.48.55 22 10.201.0.69 22 tcp E2-EH-VDI-EXT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100</v>
      </c>
      <c r="I6" t="s">
        <v>16</v>
      </c>
      <c r="J6">
        <v>22</v>
      </c>
      <c r="K6">
        <v>22</v>
      </c>
      <c r="M6" t="s">
        <v>135</v>
      </c>
      <c r="N6" t="str">
        <f t="shared" si="0"/>
        <v>get router info routing-table details 10.201.3.52 | grep -f *</v>
      </c>
      <c r="O6" t="s">
        <v>136</v>
      </c>
      <c r="P6" t="s">
        <v>140</v>
      </c>
      <c r="Q6" t="s">
        <v>136</v>
      </c>
      <c r="R6" t="str">
        <f t="shared" si="1"/>
        <v>diagnose firewall iprope lookup 10.201.3.52 22 10.201.0.69 22 tcp E2-EH-ADMOPE-1</v>
      </c>
    </row>
    <row r="7" spans="1:18" x14ac:dyDescent="0.3">
      <c r="A7" t="s">
        <v>12</v>
      </c>
      <c r="B7" t="s">
        <v>13</v>
      </c>
      <c r="C7" t="s">
        <v>25</v>
      </c>
      <c r="D7" t="s">
        <v>26</v>
      </c>
      <c r="E7" t="s">
        <v>101</v>
      </c>
      <c r="I7" t="s">
        <v>16</v>
      </c>
      <c r="J7">
        <v>22</v>
      </c>
      <c r="K7">
        <v>22</v>
      </c>
      <c r="M7" t="s">
        <v>135</v>
      </c>
      <c r="N7" t="str">
        <f t="shared" si="0"/>
        <v>get router info routing-table details 10.72.42.5 | grep -f *</v>
      </c>
      <c r="O7" t="s">
        <v>136</v>
      </c>
      <c r="P7" t="s">
        <v>137</v>
      </c>
      <c r="Q7" t="s">
        <v>136</v>
      </c>
      <c r="R7" t="str">
        <f t="shared" si="1"/>
        <v>diagnose firewall iprope lookup 10.72.42.5 22 10.201.0.69 22 tcp E2-EH-AGN</v>
      </c>
    </row>
    <row r="8" spans="1:18" x14ac:dyDescent="0.3">
      <c r="A8" t="s">
        <v>12</v>
      </c>
      <c r="B8" t="s">
        <v>13</v>
      </c>
      <c r="C8" t="s">
        <v>27</v>
      </c>
      <c r="D8" t="s">
        <v>28</v>
      </c>
      <c r="E8" t="s">
        <v>102</v>
      </c>
      <c r="I8" t="s">
        <v>16</v>
      </c>
      <c r="J8">
        <v>22</v>
      </c>
      <c r="K8">
        <v>22</v>
      </c>
      <c r="M8" t="s">
        <v>135</v>
      </c>
      <c r="N8" t="str">
        <f t="shared" si="0"/>
        <v>get router info routing-table details 10.202.165.156 | grep -f *</v>
      </c>
      <c r="O8" t="s">
        <v>136</v>
      </c>
      <c r="P8" t="s">
        <v>137</v>
      </c>
      <c r="Q8" t="s">
        <v>136</v>
      </c>
      <c r="R8" t="str">
        <f t="shared" si="1"/>
        <v>diagnose firewall iprope lookup 10.202.165.156 22 10.201.0.69 22 tcp E2-EH-AGN</v>
      </c>
    </row>
    <row r="9" spans="1:18" x14ac:dyDescent="0.3">
      <c r="A9" t="s">
        <v>12</v>
      </c>
      <c r="B9" t="s">
        <v>13</v>
      </c>
      <c r="C9" t="s">
        <v>29</v>
      </c>
      <c r="D9" t="s">
        <v>30</v>
      </c>
      <c r="E9" t="s">
        <v>103</v>
      </c>
      <c r="I9" t="s">
        <v>16</v>
      </c>
      <c r="J9">
        <v>21111</v>
      </c>
      <c r="K9">
        <v>21111</v>
      </c>
      <c r="M9" t="s">
        <v>135</v>
      </c>
      <c r="N9" t="str">
        <f t="shared" si="0"/>
        <v>get router info routing-table details 10.201.3.245 | grep -f *</v>
      </c>
      <c r="O9" t="s">
        <v>136</v>
      </c>
      <c r="P9" t="s">
        <v>140</v>
      </c>
      <c r="Q9" t="s">
        <v>136</v>
      </c>
      <c r="R9" t="str">
        <f t="shared" si="1"/>
        <v>diagnose firewall iprope lookup 10.201.3.245 21111 10.201.0.69 21111 tcp E2-EH-ADMOPE-1</v>
      </c>
    </row>
    <row r="10" spans="1:18" x14ac:dyDescent="0.3">
      <c r="A10" t="s">
        <v>12</v>
      </c>
      <c r="B10" t="s">
        <v>13</v>
      </c>
      <c r="C10" t="s">
        <v>31</v>
      </c>
      <c r="D10" t="s">
        <v>30</v>
      </c>
      <c r="E10" t="s">
        <v>103</v>
      </c>
      <c r="I10" t="s">
        <v>16</v>
      </c>
      <c r="J10">
        <v>22</v>
      </c>
      <c r="K10">
        <v>22</v>
      </c>
      <c r="M10" t="s">
        <v>135</v>
      </c>
      <c r="N10" t="str">
        <f t="shared" si="0"/>
        <v>get router info routing-table details 10.201.3.245 | grep -f *</v>
      </c>
      <c r="O10" t="s">
        <v>136</v>
      </c>
      <c r="P10" t="s">
        <v>140</v>
      </c>
      <c r="Q10" t="s">
        <v>136</v>
      </c>
      <c r="R10" t="str">
        <f t="shared" si="1"/>
        <v>diagnose firewall iprope lookup 10.201.3.245 22 10.201.0.69 22 tcp E2-EH-ADMOPE-1</v>
      </c>
    </row>
    <row r="11" spans="1:18" x14ac:dyDescent="0.3">
      <c r="A11" t="s">
        <v>12</v>
      </c>
      <c r="B11" t="s">
        <v>13</v>
      </c>
      <c r="C11" t="s">
        <v>32</v>
      </c>
      <c r="D11" t="s">
        <v>33</v>
      </c>
      <c r="E11" t="s">
        <v>104</v>
      </c>
      <c r="I11" t="s">
        <v>16</v>
      </c>
      <c r="J11">
        <v>22</v>
      </c>
      <c r="K11">
        <v>22</v>
      </c>
      <c r="M11" t="s">
        <v>135</v>
      </c>
      <c r="N11" t="str">
        <f t="shared" si="0"/>
        <v>get router info routing-table details 10.201.48.51 | grep -f *</v>
      </c>
      <c r="O11" t="s">
        <v>136</v>
      </c>
      <c r="P11" t="s">
        <v>139</v>
      </c>
      <c r="Q11" t="s">
        <v>136</v>
      </c>
      <c r="R11" t="str">
        <f t="shared" si="1"/>
        <v>diagnose firewall iprope lookup 10.201.48.51 22 10.201.0.69 22 tcp E2-EH-VDI-EXT</v>
      </c>
    </row>
    <row r="12" spans="1:18" x14ac:dyDescent="0.3">
      <c r="A12" t="s">
        <v>12</v>
      </c>
      <c r="B12" t="s">
        <v>13</v>
      </c>
      <c r="C12" t="s">
        <v>34</v>
      </c>
      <c r="D12" t="s">
        <v>35</v>
      </c>
      <c r="E12" t="s">
        <v>105</v>
      </c>
      <c r="I12" t="s">
        <v>16</v>
      </c>
      <c r="J12">
        <v>22</v>
      </c>
      <c r="K12">
        <v>22</v>
      </c>
      <c r="M12" t="s">
        <v>135</v>
      </c>
      <c r="N12" t="str">
        <f t="shared" si="0"/>
        <v>get router info routing-table details 10.222.73.167 | grep -f *</v>
      </c>
      <c r="O12" t="s">
        <v>136</v>
      </c>
      <c r="P12" t="s">
        <v>141</v>
      </c>
      <c r="Q12" t="s">
        <v>136</v>
      </c>
      <c r="R12" t="str">
        <f t="shared" si="1"/>
        <v>diagnose firewall iprope lookup 10.222.73.167 22 10.201.0.69 22 tcp EH-VDI</v>
      </c>
    </row>
    <row r="13" spans="1:18" x14ac:dyDescent="0.3">
      <c r="A13" t="s">
        <v>12</v>
      </c>
      <c r="B13" t="s">
        <v>13</v>
      </c>
      <c r="C13" t="s">
        <v>36</v>
      </c>
      <c r="D13" t="s">
        <v>37</v>
      </c>
      <c r="E13" t="s">
        <v>106</v>
      </c>
      <c r="I13" t="s">
        <v>16</v>
      </c>
      <c r="J13">
        <v>22</v>
      </c>
      <c r="K13">
        <v>22</v>
      </c>
      <c r="M13" t="s">
        <v>135</v>
      </c>
      <c r="N13" t="str">
        <f t="shared" si="0"/>
        <v>get router info routing-table details 10.222.130.84 | grep -f *</v>
      </c>
      <c r="O13" t="s">
        <v>136</v>
      </c>
      <c r="P13" t="s">
        <v>137</v>
      </c>
      <c r="Q13" t="s">
        <v>136</v>
      </c>
      <c r="R13" t="str">
        <f t="shared" si="1"/>
        <v>diagnose firewall iprope lookup 10.222.130.84 22 10.201.0.69 22 tcp E2-EH-AGN</v>
      </c>
    </row>
    <row r="14" spans="1:18" x14ac:dyDescent="0.3">
      <c r="A14" t="s">
        <v>12</v>
      </c>
      <c r="B14" t="s">
        <v>13</v>
      </c>
      <c r="C14" t="s">
        <v>38</v>
      </c>
      <c r="D14" t="s">
        <v>39</v>
      </c>
      <c r="E14" t="s">
        <v>107</v>
      </c>
      <c r="I14" t="s">
        <v>16</v>
      </c>
      <c r="J14">
        <v>22</v>
      </c>
      <c r="K14">
        <v>22</v>
      </c>
      <c r="M14" t="s">
        <v>135</v>
      </c>
      <c r="N14" t="str">
        <f t="shared" si="0"/>
        <v>get router info routing-table details 44.168.32.144 | grep -f *</v>
      </c>
      <c r="O14" t="s">
        <v>136</v>
      </c>
      <c r="P14" t="s">
        <v>137</v>
      </c>
      <c r="Q14" t="s">
        <v>136</v>
      </c>
      <c r="R14" t="str">
        <f t="shared" si="1"/>
        <v>diagnose firewall iprope lookup 44.168.32.144 22 10.201.0.69 22 tcp E2-EH-AGN</v>
      </c>
    </row>
    <row r="15" spans="1:18" x14ac:dyDescent="0.3">
      <c r="A15" t="s">
        <v>12</v>
      </c>
      <c r="B15" t="s">
        <v>13</v>
      </c>
      <c r="C15" t="s">
        <v>40</v>
      </c>
      <c r="D15" t="s">
        <v>41</v>
      </c>
      <c r="E15" t="s">
        <v>108</v>
      </c>
      <c r="I15" t="s">
        <v>16</v>
      </c>
      <c r="J15">
        <v>22</v>
      </c>
      <c r="K15">
        <v>22</v>
      </c>
      <c r="M15" t="s">
        <v>135</v>
      </c>
      <c r="N15" t="str">
        <f t="shared" si="0"/>
        <v>get router info routing-table details 10.222.128.67 | grep -f *</v>
      </c>
      <c r="O15" t="s">
        <v>136</v>
      </c>
      <c r="P15" t="s">
        <v>137</v>
      </c>
      <c r="Q15" t="s">
        <v>136</v>
      </c>
      <c r="R15" t="str">
        <f t="shared" si="1"/>
        <v>diagnose firewall iprope lookup 10.222.128.67 22 10.201.0.69 22 tcp E2-EH-AGN</v>
      </c>
    </row>
    <row r="16" spans="1:18" x14ac:dyDescent="0.3">
      <c r="A16" t="s">
        <v>12</v>
      </c>
      <c r="B16" t="s">
        <v>13</v>
      </c>
      <c r="C16" t="s">
        <v>42</v>
      </c>
      <c r="D16" t="s">
        <v>43</v>
      </c>
      <c r="E16" t="s">
        <v>109</v>
      </c>
      <c r="I16" t="s">
        <v>16</v>
      </c>
      <c r="J16">
        <v>22</v>
      </c>
      <c r="K16">
        <v>22</v>
      </c>
      <c r="M16" t="s">
        <v>135</v>
      </c>
      <c r="N16" t="str">
        <f t="shared" si="0"/>
        <v>get router info routing-table details 10.222.130.86 | grep -f *</v>
      </c>
      <c r="O16" t="s">
        <v>136</v>
      </c>
      <c r="P16" t="s">
        <v>137</v>
      </c>
      <c r="Q16" t="s">
        <v>136</v>
      </c>
      <c r="R16" t="str">
        <f t="shared" si="1"/>
        <v>diagnose firewall iprope lookup 10.222.130.86 22 10.201.0.69 22 tcp E2-EH-AGN</v>
      </c>
    </row>
    <row r="17" spans="1:18" x14ac:dyDescent="0.3">
      <c r="A17" t="s">
        <v>12</v>
      </c>
      <c r="B17" t="s">
        <v>13</v>
      </c>
      <c r="C17" t="s">
        <v>44</v>
      </c>
      <c r="D17" t="s">
        <v>45</v>
      </c>
      <c r="E17" t="s">
        <v>110</v>
      </c>
      <c r="I17" t="s">
        <v>16</v>
      </c>
      <c r="J17">
        <v>22</v>
      </c>
      <c r="K17">
        <v>22</v>
      </c>
      <c r="M17" t="s">
        <v>135</v>
      </c>
      <c r="N17" t="str">
        <f t="shared" si="0"/>
        <v>get router info routing-table details 10.222.65.162 | grep -f *</v>
      </c>
      <c r="O17" t="s">
        <v>136</v>
      </c>
      <c r="P17" t="s">
        <v>141</v>
      </c>
      <c r="Q17" t="s">
        <v>136</v>
      </c>
      <c r="R17" t="str">
        <f t="shared" si="1"/>
        <v>diagnose firewall iprope lookup 10.222.65.162 22 10.201.0.69 22 tcp EH-VDI</v>
      </c>
    </row>
    <row r="18" spans="1:18" x14ac:dyDescent="0.3">
      <c r="A18" t="s">
        <v>12</v>
      </c>
      <c r="B18" t="s">
        <v>13</v>
      </c>
      <c r="C18" t="s">
        <v>46</v>
      </c>
      <c r="D18" t="s">
        <v>47</v>
      </c>
      <c r="E18" t="s">
        <v>111</v>
      </c>
      <c r="I18" t="s">
        <v>16</v>
      </c>
      <c r="J18">
        <v>22</v>
      </c>
      <c r="K18">
        <v>22</v>
      </c>
      <c r="M18" t="s">
        <v>135</v>
      </c>
      <c r="N18" t="str">
        <f t="shared" si="0"/>
        <v>get router info routing-table details 10.222.65.221 | grep -f *</v>
      </c>
      <c r="O18" t="s">
        <v>136</v>
      </c>
      <c r="P18" t="s">
        <v>141</v>
      </c>
      <c r="Q18" t="s">
        <v>136</v>
      </c>
      <c r="R18" t="str">
        <f t="shared" si="1"/>
        <v>diagnose firewall iprope lookup 10.222.65.221 22 10.201.0.69 22 tcp EH-VDI</v>
      </c>
    </row>
    <row r="19" spans="1:18" x14ac:dyDescent="0.3">
      <c r="A19" t="s">
        <v>12</v>
      </c>
      <c r="B19" t="s">
        <v>13</v>
      </c>
      <c r="C19" t="s">
        <v>48</v>
      </c>
      <c r="D19" t="s">
        <v>49</v>
      </c>
      <c r="E19" t="s">
        <v>112</v>
      </c>
      <c r="I19" t="s">
        <v>16</v>
      </c>
      <c r="J19">
        <v>22</v>
      </c>
      <c r="K19">
        <v>22</v>
      </c>
      <c r="M19" t="s">
        <v>135</v>
      </c>
      <c r="N19" t="str">
        <f t="shared" si="0"/>
        <v>get router info routing-table details 10.201.48.11 | grep -f *</v>
      </c>
      <c r="O19" t="s">
        <v>136</v>
      </c>
      <c r="P19" t="s">
        <v>139</v>
      </c>
      <c r="Q19" t="s">
        <v>136</v>
      </c>
      <c r="R19" t="str">
        <f t="shared" si="1"/>
        <v>diagnose firewall iprope lookup 10.201.48.11 22 10.201.0.69 22 tcp E2-EH-VDI-EXT</v>
      </c>
    </row>
    <row r="20" spans="1:18" x14ac:dyDescent="0.3">
      <c r="A20" t="s">
        <v>12</v>
      </c>
      <c r="B20" t="s">
        <v>13</v>
      </c>
      <c r="C20" t="s">
        <v>50</v>
      </c>
      <c r="D20" t="s">
        <v>51</v>
      </c>
      <c r="E20" t="s">
        <v>113</v>
      </c>
      <c r="I20" t="s">
        <v>16</v>
      </c>
      <c r="J20">
        <v>22</v>
      </c>
      <c r="K20">
        <v>22</v>
      </c>
      <c r="M20" t="s">
        <v>135</v>
      </c>
      <c r="N20" t="str">
        <f t="shared" si="0"/>
        <v>get router info routing-table details 10.201.48.56 | grep -f *</v>
      </c>
      <c r="O20" t="s">
        <v>136</v>
      </c>
      <c r="P20" t="s">
        <v>139</v>
      </c>
      <c r="Q20" t="s">
        <v>136</v>
      </c>
      <c r="R20" t="str">
        <f t="shared" si="1"/>
        <v>diagnose firewall iprope lookup 10.201.48.56 22 10.201.0.69 22 tcp E2-EH-VDI-EXT</v>
      </c>
    </row>
    <row r="21" spans="1:18" x14ac:dyDescent="0.3">
      <c r="A21" t="s">
        <v>12</v>
      </c>
      <c r="B21" t="s">
        <v>13</v>
      </c>
      <c r="C21" t="s">
        <v>52</v>
      </c>
      <c r="D21" t="s">
        <v>53</v>
      </c>
      <c r="E21" t="s">
        <v>114</v>
      </c>
      <c r="I21" t="s">
        <v>16</v>
      </c>
      <c r="J21">
        <v>80</v>
      </c>
      <c r="K21">
        <v>80</v>
      </c>
      <c r="M21" t="s">
        <v>135</v>
      </c>
      <c r="N21" t="str">
        <f t="shared" si="0"/>
        <v>get router info routing-table details 44.168.32.145 | grep -f *</v>
      </c>
      <c r="O21" t="s">
        <v>136</v>
      </c>
      <c r="P21" t="s">
        <v>137</v>
      </c>
      <c r="Q21" t="s">
        <v>136</v>
      </c>
      <c r="R21" t="str">
        <f t="shared" si="1"/>
        <v>diagnose firewall iprope lookup 44.168.32.145 80 10.201.0.69 80 tcp E2-EH-AGN</v>
      </c>
    </row>
    <row r="22" spans="1:18" x14ac:dyDescent="0.3">
      <c r="A22" t="s">
        <v>12</v>
      </c>
      <c r="B22" t="s">
        <v>13</v>
      </c>
      <c r="C22" t="s">
        <v>54</v>
      </c>
      <c r="D22" t="s">
        <v>53</v>
      </c>
      <c r="E22" t="s">
        <v>114</v>
      </c>
      <c r="I22" t="s">
        <v>16</v>
      </c>
      <c r="J22">
        <v>22</v>
      </c>
      <c r="K22">
        <v>22</v>
      </c>
      <c r="M22" t="s">
        <v>135</v>
      </c>
      <c r="N22" t="str">
        <f t="shared" si="0"/>
        <v>get router info routing-table details 44.168.32.145 | grep -f *</v>
      </c>
      <c r="O22" t="s">
        <v>136</v>
      </c>
      <c r="P22" t="s">
        <v>137</v>
      </c>
      <c r="Q22" t="s">
        <v>136</v>
      </c>
      <c r="R22" t="str">
        <f t="shared" si="1"/>
        <v>diagnose firewall iprope lookup 44.168.32.145 22 10.201.0.69 22 tcp E2-EH-AGN</v>
      </c>
    </row>
    <row r="23" spans="1:18" x14ac:dyDescent="0.3">
      <c r="A23" t="s">
        <v>12</v>
      </c>
      <c r="B23" t="s">
        <v>13</v>
      </c>
      <c r="C23" t="s">
        <v>55</v>
      </c>
      <c r="D23" t="s">
        <v>56</v>
      </c>
      <c r="E23" t="s">
        <v>115</v>
      </c>
      <c r="I23" t="s">
        <v>16</v>
      </c>
      <c r="J23">
        <v>22</v>
      </c>
      <c r="K23">
        <v>22</v>
      </c>
      <c r="M23" t="s">
        <v>135</v>
      </c>
      <c r="N23" t="str">
        <f t="shared" si="0"/>
        <v>get router info routing-table details 10.222.65.136 | grep -f *</v>
      </c>
      <c r="O23" t="s">
        <v>136</v>
      </c>
      <c r="P23" t="s">
        <v>137</v>
      </c>
      <c r="Q23" t="s">
        <v>136</v>
      </c>
      <c r="R23" t="str">
        <f t="shared" si="1"/>
        <v>diagnose firewall iprope lookup 10.222.65.136 22 10.201.0.69 22 tcp E2-EH-AGN</v>
      </c>
    </row>
    <row r="24" spans="1:18" x14ac:dyDescent="0.3">
      <c r="A24" t="s">
        <v>12</v>
      </c>
      <c r="B24" t="s">
        <v>13</v>
      </c>
      <c r="C24" t="s">
        <v>57</v>
      </c>
      <c r="D24" t="s">
        <v>58</v>
      </c>
      <c r="E24" t="s">
        <v>116</v>
      </c>
      <c r="I24" t="s">
        <v>16</v>
      </c>
      <c r="J24">
        <v>22</v>
      </c>
      <c r="K24">
        <v>22</v>
      </c>
      <c r="M24" t="s">
        <v>135</v>
      </c>
      <c r="N24" t="str">
        <f t="shared" si="0"/>
        <v>get router info routing-table details 10.222.65.102 | grep -f *</v>
      </c>
      <c r="O24" t="s">
        <v>136</v>
      </c>
      <c r="P24" t="s">
        <v>141</v>
      </c>
      <c r="Q24" t="s">
        <v>136</v>
      </c>
      <c r="R24" t="str">
        <f t="shared" si="1"/>
        <v>diagnose firewall iprope lookup 10.222.65.102 22 10.201.0.69 22 tcp EH-VDI</v>
      </c>
    </row>
    <row r="25" spans="1:18" x14ac:dyDescent="0.3">
      <c r="A25" t="s">
        <v>12</v>
      </c>
      <c r="B25" t="s">
        <v>13</v>
      </c>
      <c r="C25" t="s">
        <v>59</v>
      </c>
      <c r="D25" t="s">
        <v>60</v>
      </c>
      <c r="E25" t="s">
        <v>117</v>
      </c>
      <c r="I25" t="s">
        <v>16</v>
      </c>
      <c r="J25">
        <v>22</v>
      </c>
      <c r="K25">
        <v>22</v>
      </c>
      <c r="M25" t="s">
        <v>135</v>
      </c>
      <c r="N25" t="str">
        <f t="shared" si="0"/>
        <v>get router info routing-table details 10.222.134.52 | grep -f *</v>
      </c>
      <c r="O25" t="s">
        <v>136</v>
      </c>
      <c r="P25" t="s">
        <v>137</v>
      </c>
      <c r="Q25" t="s">
        <v>136</v>
      </c>
      <c r="R25" t="str">
        <f t="shared" si="1"/>
        <v>diagnose firewall iprope lookup 10.222.134.52 22 10.201.0.69 22 tcp E2-EH-AGN</v>
      </c>
    </row>
    <row r="26" spans="1:18" x14ac:dyDescent="0.3">
      <c r="A26" t="s">
        <v>12</v>
      </c>
      <c r="B26" t="s">
        <v>13</v>
      </c>
      <c r="C26" t="s">
        <v>61</v>
      </c>
      <c r="D26" t="s">
        <v>62</v>
      </c>
      <c r="E26" t="s">
        <v>118</v>
      </c>
      <c r="I26" t="s">
        <v>16</v>
      </c>
      <c r="J26">
        <v>22</v>
      </c>
      <c r="K26">
        <v>22</v>
      </c>
      <c r="M26" t="s">
        <v>135</v>
      </c>
      <c r="N26" t="str">
        <f t="shared" si="0"/>
        <v>get router info routing-table details 10.201.49.68 | grep -f *</v>
      </c>
      <c r="O26" t="s">
        <v>136</v>
      </c>
      <c r="P26" t="s">
        <v>139</v>
      </c>
      <c r="Q26" t="s">
        <v>136</v>
      </c>
      <c r="R26" t="str">
        <f t="shared" si="1"/>
        <v>diagnose firewall iprope lookup 10.201.49.68 22 10.201.0.69 22 tcp E2-EH-VDI-EXT</v>
      </c>
    </row>
    <row r="27" spans="1:18" x14ac:dyDescent="0.3">
      <c r="A27" t="s">
        <v>12</v>
      </c>
      <c r="B27" t="s">
        <v>13</v>
      </c>
      <c r="C27" t="s">
        <v>63</v>
      </c>
      <c r="D27" t="s">
        <v>64</v>
      </c>
      <c r="E27" t="s">
        <v>119</v>
      </c>
      <c r="I27" t="s">
        <v>16</v>
      </c>
      <c r="J27">
        <v>22</v>
      </c>
      <c r="K27">
        <v>22</v>
      </c>
      <c r="M27" t="s">
        <v>135</v>
      </c>
      <c r="N27" t="str">
        <f t="shared" si="0"/>
        <v>get router info routing-table details 10.222.131.164 | grep -f *</v>
      </c>
      <c r="O27" t="s">
        <v>136</v>
      </c>
      <c r="P27" t="s">
        <v>137</v>
      </c>
      <c r="Q27" t="s">
        <v>136</v>
      </c>
      <c r="R27" t="str">
        <f t="shared" si="1"/>
        <v>diagnose firewall iprope lookup 10.222.131.164 22 10.201.0.69 22 tcp E2-EH-AGN</v>
      </c>
    </row>
    <row r="28" spans="1:18" x14ac:dyDescent="0.3">
      <c r="A28" t="s">
        <v>12</v>
      </c>
      <c r="B28" t="s">
        <v>13</v>
      </c>
      <c r="C28" t="s">
        <v>65</v>
      </c>
      <c r="D28" t="s">
        <v>66</v>
      </c>
      <c r="E28" t="s">
        <v>120</v>
      </c>
      <c r="I28" t="s">
        <v>16</v>
      </c>
      <c r="J28">
        <v>22</v>
      </c>
      <c r="K28">
        <v>22</v>
      </c>
      <c r="M28" t="s">
        <v>135</v>
      </c>
      <c r="N28" t="str">
        <f t="shared" si="0"/>
        <v>get router info routing-table details 10.201.49.41 | grep -f *</v>
      </c>
      <c r="O28" t="s">
        <v>136</v>
      </c>
      <c r="P28" t="s">
        <v>139</v>
      </c>
      <c r="Q28" t="s">
        <v>136</v>
      </c>
      <c r="R28" t="str">
        <f t="shared" si="1"/>
        <v>diagnose firewall iprope lookup 10.201.49.41 22 10.201.0.69 22 tcp E2-EH-VDI-EXT</v>
      </c>
    </row>
    <row r="29" spans="1:18" x14ac:dyDescent="0.3">
      <c r="A29" t="s">
        <v>12</v>
      </c>
      <c r="B29" t="s">
        <v>13</v>
      </c>
      <c r="C29" t="s">
        <v>67</v>
      </c>
      <c r="D29" t="s">
        <v>68</v>
      </c>
      <c r="E29" t="s">
        <v>121</v>
      </c>
      <c r="I29" t="s">
        <v>16</v>
      </c>
      <c r="J29">
        <v>8081</v>
      </c>
      <c r="K29">
        <v>8081</v>
      </c>
      <c r="M29" t="s">
        <v>135</v>
      </c>
      <c r="N29" t="str">
        <f t="shared" si="0"/>
        <v>get router info routing-table details 10.222.128.68 | grep -f *</v>
      </c>
      <c r="O29" t="s">
        <v>136</v>
      </c>
      <c r="P29" t="s">
        <v>137</v>
      </c>
      <c r="Q29" t="s">
        <v>136</v>
      </c>
      <c r="R29" t="str">
        <f t="shared" si="1"/>
        <v>diagnose firewall iprope lookup 10.222.128.68 8081 10.201.0.69 8081 tcp E2-EH-AGN</v>
      </c>
    </row>
    <row r="30" spans="1:18" x14ac:dyDescent="0.3">
      <c r="A30" t="s">
        <v>12</v>
      </c>
      <c r="B30" t="s">
        <v>13</v>
      </c>
      <c r="C30" t="s">
        <v>69</v>
      </c>
      <c r="D30" t="s">
        <v>70</v>
      </c>
      <c r="E30" t="s">
        <v>122</v>
      </c>
      <c r="I30" t="s">
        <v>16</v>
      </c>
      <c r="J30">
        <v>22</v>
      </c>
      <c r="K30">
        <v>22</v>
      </c>
      <c r="M30" t="s">
        <v>135</v>
      </c>
      <c r="N30" t="str">
        <f t="shared" si="0"/>
        <v>get router info routing-table details 10.222.73.68 | grep -f *</v>
      </c>
      <c r="O30" t="s">
        <v>136</v>
      </c>
      <c r="P30" t="s">
        <v>141</v>
      </c>
      <c r="Q30" t="s">
        <v>136</v>
      </c>
      <c r="R30" t="str">
        <f t="shared" si="1"/>
        <v>diagnose firewall iprope lookup 10.222.73.68 22 10.201.0.69 22 tcp EH-VDI</v>
      </c>
    </row>
    <row r="31" spans="1:18" x14ac:dyDescent="0.3">
      <c r="A31" t="s">
        <v>12</v>
      </c>
      <c r="B31" t="s">
        <v>13</v>
      </c>
      <c r="C31" t="s">
        <v>71</v>
      </c>
      <c r="D31" t="s">
        <v>70</v>
      </c>
      <c r="E31" t="s">
        <v>122</v>
      </c>
      <c r="I31" t="s">
        <v>16</v>
      </c>
      <c r="J31">
        <v>8081</v>
      </c>
      <c r="K31">
        <v>8081</v>
      </c>
      <c r="M31" t="s">
        <v>135</v>
      </c>
      <c r="N31" t="str">
        <f t="shared" si="0"/>
        <v>get router info routing-table details 10.222.73.68 | grep -f *</v>
      </c>
      <c r="O31" t="s">
        <v>136</v>
      </c>
      <c r="P31" t="s">
        <v>141</v>
      </c>
      <c r="Q31" t="s">
        <v>136</v>
      </c>
      <c r="R31" t="str">
        <f t="shared" si="1"/>
        <v>diagnose firewall iprope lookup 10.222.73.68 8081 10.201.0.69 8081 tcp EH-VDI</v>
      </c>
    </row>
    <row r="32" spans="1:18" x14ac:dyDescent="0.3">
      <c r="A32" t="s">
        <v>12</v>
      </c>
      <c r="B32" t="s">
        <v>13</v>
      </c>
      <c r="C32" t="s">
        <v>72</v>
      </c>
      <c r="D32" t="s">
        <v>73</v>
      </c>
      <c r="E32" t="s">
        <v>123</v>
      </c>
      <c r="I32" t="s">
        <v>16</v>
      </c>
      <c r="J32">
        <v>22</v>
      </c>
      <c r="K32">
        <v>22</v>
      </c>
      <c r="M32" t="s">
        <v>135</v>
      </c>
      <c r="N32" t="str">
        <f t="shared" si="0"/>
        <v>get router info routing-table details 10.222.64.241 | grep -f *</v>
      </c>
      <c r="O32" t="s">
        <v>136</v>
      </c>
      <c r="P32" t="s">
        <v>141</v>
      </c>
      <c r="Q32" t="s">
        <v>136</v>
      </c>
      <c r="R32" t="str">
        <f t="shared" si="1"/>
        <v>diagnose firewall iprope lookup 10.222.64.241 22 10.201.0.69 22 tcp EH-VDI</v>
      </c>
    </row>
    <row r="33" spans="1:18" x14ac:dyDescent="0.3">
      <c r="A33" t="s">
        <v>12</v>
      </c>
      <c r="B33" t="s">
        <v>13</v>
      </c>
      <c r="C33" t="s">
        <v>74</v>
      </c>
      <c r="D33" t="s">
        <v>75</v>
      </c>
      <c r="E33" t="s">
        <v>124</v>
      </c>
      <c r="I33" t="s">
        <v>16</v>
      </c>
      <c r="J33">
        <v>22</v>
      </c>
      <c r="K33">
        <v>22</v>
      </c>
      <c r="M33" t="s">
        <v>135</v>
      </c>
      <c r="N33" t="str">
        <f t="shared" si="0"/>
        <v>get router info routing-table details 10.201.48.242 | grep -f *</v>
      </c>
      <c r="O33" t="s">
        <v>136</v>
      </c>
      <c r="P33" t="s">
        <v>139</v>
      </c>
      <c r="Q33" t="s">
        <v>136</v>
      </c>
      <c r="R33" t="str">
        <f t="shared" si="1"/>
        <v>diagnose firewall iprope lookup 10.201.48.242 22 10.201.0.69 22 tcp E2-EH-VDI-EXT</v>
      </c>
    </row>
    <row r="34" spans="1:18" x14ac:dyDescent="0.3">
      <c r="A34" t="s">
        <v>12</v>
      </c>
      <c r="B34" t="s">
        <v>13</v>
      </c>
      <c r="C34" t="s">
        <v>76</v>
      </c>
      <c r="D34" t="s">
        <v>77</v>
      </c>
      <c r="E34" t="s">
        <v>125</v>
      </c>
      <c r="I34" t="s">
        <v>16</v>
      </c>
      <c r="J34">
        <v>22</v>
      </c>
      <c r="K34">
        <v>22</v>
      </c>
      <c r="M34" t="s">
        <v>135</v>
      </c>
      <c r="N34" t="str">
        <f t="shared" si="0"/>
        <v>get router info routing-table details 10.222.66.7 | grep -f *</v>
      </c>
      <c r="O34" t="s">
        <v>136</v>
      </c>
      <c r="P34" t="s">
        <v>141</v>
      </c>
      <c r="Q34" t="s">
        <v>136</v>
      </c>
      <c r="R34" t="str">
        <f t="shared" si="1"/>
        <v>diagnose firewall iprope lookup 10.222.66.7 22 10.201.0.69 22 tcp EH-VDI</v>
      </c>
    </row>
    <row r="35" spans="1:18" x14ac:dyDescent="0.3">
      <c r="A35" t="s">
        <v>12</v>
      </c>
      <c r="B35" t="s">
        <v>13</v>
      </c>
      <c r="C35" t="s">
        <v>78</v>
      </c>
      <c r="D35" t="s">
        <v>79</v>
      </c>
      <c r="E35" t="s">
        <v>126</v>
      </c>
      <c r="I35" t="s">
        <v>16</v>
      </c>
      <c r="J35">
        <v>22</v>
      </c>
      <c r="K35">
        <v>22</v>
      </c>
      <c r="M35" t="s">
        <v>135</v>
      </c>
      <c r="N35" t="str">
        <f t="shared" si="0"/>
        <v>get router info routing-table details 44.119.8.158 | grep -f *</v>
      </c>
      <c r="O35" t="s">
        <v>136</v>
      </c>
      <c r="P35" t="s">
        <v>137</v>
      </c>
      <c r="Q35" t="s">
        <v>136</v>
      </c>
      <c r="R35" t="str">
        <f t="shared" si="1"/>
        <v>diagnose firewall iprope lookup 44.119.8.158 22 10.201.0.69 22 tcp E2-EH-AGN</v>
      </c>
    </row>
    <row r="36" spans="1:18" x14ac:dyDescent="0.3">
      <c r="A36" t="s">
        <v>12</v>
      </c>
      <c r="B36" t="s">
        <v>13</v>
      </c>
      <c r="C36" t="s">
        <v>80</v>
      </c>
      <c r="D36" t="s">
        <v>81</v>
      </c>
      <c r="E36" t="s">
        <v>127</v>
      </c>
      <c r="I36" t="s">
        <v>16</v>
      </c>
      <c r="J36">
        <v>22</v>
      </c>
      <c r="K36">
        <v>22</v>
      </c>
      <c r="M36" t="s">
        <v>135</v>
      </c>
      <c r="N36" t="str">
        <f t="shared" si="0"/>
        <v>get router info routing-table details 10.222.133.66 | grep -f *</v>
      </c>
      <c r="O36" t="s">
        <v>136</v>
      </c>
      <c r="P36" t="s">
        <v>137</v>
      </c>
      <c r="Q36" t="s">
        <v>136</v>
      </c>
      <c r="R36" t="str">
        <f t="shared" si="1"/>
        <v>diagnose firewall iprope lookup 10.222.133.66 22 10.201.0.69 22 tcp E2-EH-AGN</v>
      </c>
    </row>
    <row r="37" spans="1:18" x14ac:dyDescent="0.3">
      <c r="A37" t="s">
        <v>12</v>
      </c>
      <c r="B37" t="s">
        <v>13</v>
      </c>
      <c r="C37" t="s">
        <v>82</v>
      </c>
      <c r="D37" t="s">
        <v>83</v>
      </c>
      <c r="E37" t="s">
        <v>128</v>
      </c>
      <c r="I37" t="s">
        <v>16</v>
      </c>
      <c r="J37">
        <v>22</v>
      </c>
      <c r="K37">
        <v>22</v>
      </c>
      <c r="M37" t="s">
        <v>135</v>
      </c>
      <c r="N37" t="str">
        <f t="shared" si="0"/>
        <v>get router info routing-table details 10.222.65.90 | grep -f *</v>
      </c>
      <c r="O37" t="s">
        <v>136</v>
      </c>
      <c r="P37" t="s">
        <v>141</v>
      </c>
      <c r="Q37" t="s">
        <v>136</v>
      </c>
      <c r="R37" t="str">
        <f t="shared" si="1"/>
        <v>diagnose firewall iprope lookup 10.222.65.90 22 10.201.0.69 22 tcp EH-VDI</v>
      </c>
    </row>
    <row r="38" spans="1:18" x14ac:dyDescent="0.3">
      <c r="A38" t="s">
        <v>12</v>
      </c>
      <c r="B38" t="s">
        <v>13</v>
      </c>
      <c r="C38" t="s">
        <v>84</v>
      </c>
      <c r="D38" t="s">
        <v>85</v>
      </c>
      <c r="E38" t="s">
        <v>129</v>
      </c>
      <c r="I38" t="s">
        <v>16</v>
      </c>
      <c r="J38">
        <v>22</v>
      </c>
      <c r="K38">
        <v>22</v>
      </c>
      <c r="M38" t="s">
        <v>135</v>
      </c>
      <c r="N38" t="str">
        <f t="shared" si="0"/>
        <v>get router info routing-table details 10.222.128.184 | grep -f *</v>
      </c>
      <c r="O38" t="s">
        <v>136</v>
      </c>
      <c r="P38" t="s">
        <v>137</v>
      </c>
      <c r="Q38" t="s">
        <v>136</v>
      </c>
      <c r="R38" t="str">
        <f t="shared" si="1"/>
        <v>diagnose firewall iprope lookup 10.222.128.184 22 10.201.0.69 22 tcp E2-EH-AGN</v>
      </c>
    </row>
    <row r="39" spans="1:18" x14ac:dyDescent="0.3">
      <c r="A39" t="s">
        <v>12</v>
      </c>
      <c r="B39" t="s">
        <v>13</v>
      </c>
      <c r="C39" t="s">
        <v>86</v>
      </c>
      <c r="D39" t="s">
        <v>87</v>
      </c>
      <c r="E39" t="s">
        <v>130</v>
      </c>
      <c r="I39" t="s">
        <v>16</v>
      </c>
      <c r="J39">
        <v>22</v>
      </c>
      <c r="K39">
        <v>22</v>
      </c>
      <c r="M39" t="s">
        <v>135</v>
      </c>
      <c r="N39" t="str">
        <f t="shared" si="0"/>
        <v>get router info routing-table details 10.222.131.119 | grep -f *</v>
      </c>
      <c r="O39" t="s">
        <v>136</v>
      </c>
      <c r="P39" t="s">
        <v>137</v>
      </c>
      <c r="Q39" t="s">
        <v>136</v>
      </c>
      <c r="R39" t="str">
        <f t="shared" si="1"/>
        <v>diagnose firewall iprope lookup 10.222.131.119 22 10.201.0.69 22 tcp E2-EH-AGN</v>
      </c>
    </row>
    <row r="40" spans="1:18" x14ac:dyDescent="0.3">
      <c r="A40" t="s">
        <v>12</v>
      </c>
      <c r="B40" t="s">
        <v>13</v>
      </c>
      <c r="C40" t="s">
        <v>88</v>
      </c>
      <c r="D40" t="s">
        <v>89</v>
      </c>
      <c r="E40" t="s">
        <v>131</v>
      </c>
      <c r="I40" t="s">
        <v>16</v>
      </c>
      <c r="J40">
        <v>22</v>
      </c>
      <c r="K40">
        <v>22</v>
      </c>
      <c r="M40" t="s">
        <v>135</v>
      </c>
      <c r="N40" t="str">
        <f t="shared" si="0"/>
        <v>get router info routing-table details 10.222.132.91 | grep -f *</v>
      </c>
      <c r="O40" t="s">
        <v>136</v>
      </c>
      <c r="P40" t="s">
        <v>137</v>
      </c>
      <c r="Q40" t="s">
        <v>136</v>
      </c>
      <c r="R40" t="str">
        <f t="shared" si="1"/>
        <v>diagnose firewall iprope lookup 10.222.132.91 22 10.201.0.69 22 tcp E2-EH-AGN</v>
      </c>
    </row>
    <row r="41" spans="1:18" x14ac:dyDescent="0.3">
      <c r="A41" t="s">
        <v>12</v>
      </c>
      <c r="B41" t="s">
        <v>13</v>
      </c>
      <c r="C41" t="s">
        <v>90</v>
      </c>
      <c r="D41" t="s">
        <v>91</v>
      </c>
      <c r="E41" t="s">
        <v>132</v>
      </c>
      <c r="I41" t="s">
        <v>16</v>
      </c>
      <c r="J41">
        <v>22</v>
      </c>
      <c r="K41">
        <v>22</v>
      </c>
      <c r="M41" t="s">
        <v>135</v>
      </c>
      <c r="N41" t="str">
        <f t="shared" si="0"/>
        <v>get router info routing-table details 10.222.65.237 | grep -f *</v>
      </c>
      <c r="O41" t="s">
        <v>136</v>
      </c>
      <c r="P41" t="s">
        <v>141</v>
      </c>
      <c r="Q41" t="s">
        <v>136</v>
      </c>
      <c r="R41" t="str">
        <f t="shared" si="1"/>
        <v>diagnose firewall iprope lookup 10.222.65.237 22 10.201.0.69 22 tcp EH-VDI</v>
      </c>
    </row>
    <row r="42" spans="1:18" x14ac:dyDescent="0.3">
      <c r="A42" t="s">
        <v>12</v>
      </c>
      <c r="B42" t="s">
        <v>13</v>
      </c>
      <c r="C42" t="s">
        <v>92</v>
      </c>
      <c r="D42" t="s">
        <v>93</v>
      </c>
      <c r="E42" t="s">
        <v>133</v>
      </c>
      <c r="I42" t="s">
        <v>16</v>
      </c>
      <c r="J42">
        <v>22</v>
      </c>
      <c r="K42">
        <v>22</v>
      </c>
      <c r="M42" t="s">
        <v>135</v>
      </c>
      <c r="N42" t="str">
        <f t="shared" si="0"/>
        <v>get router info routing-table details 10.222.74.9 | grep -f *</v>
      </c>
      <c r="O42" t="s">
        <v>136</v>
      </c>
      <c r="P42" t="s">
        <v>141</v>
      </c>
      <c r="Q42" t="s">
        <v>136</v>
      </c>
      <c r="R42" t="str">
        <f t="shared" si="1"/>
        <v>diagnose firewall iprope lookup 10.222.74.9 22 10.201.0.69 22 tcp EH-VDI</v>
      </c>
    </row>
    <row r="43" spans="1:18" x14ac:dyDescent="0.3">
      <c r="A43" t="s">
        <v>12</v>
      </c>
      <c r="B43" t="s">
        <v>13</v>
      </c>
      <c r="C43" t="s">
        <v>94</v>
      </c>
      <c r="D43" t="s">
        <v>95</v>
      </c>
      <c r="E43" t="s">
        <v>134</v>
      </c>
      <c r="I43" t="s">
        <v>16</v>
      </c>
      <c r="J43">
        <v>22</v>
      </c>
      <c r="K43">
        <v>22</v>
      </c>
      <c r="M43" t="s">
        <v>135</v>
      </c>
      <c r="N43" t="str">
        <f t="shared" si="0"/>
        <v>get router info routing-table details 10.222.129.0 | grep -f *</v>
      </c>
      <c r="O43" t="s">
        <v>136</v>
      </c>
      <c r="P43" t="s">
        <v>137</v>
      </c>
      <c r="Q43" t="s">
        <v>136</v>
      </c>
      <c r="R43" t="str">
        <f t="shared" si="1"/>
        <v>diagnose firewall iprope lookup 10.222.129.0 22 10.201.0.69 22 tcp E2-EH-AGN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B229-C989-48D1-8177-63CC425282F2}">
  <dimension ref="A1:A127"/>
  <sheetViews>
    <sheetView tabSelected="1" topLeftCell="A118" workbookViewId="0">
      <selection activeCell="A137" sqref="A137"/>
    </sheetView>
  </sheetViews>
  <sheetFormatPr defaultRowHeight="14" x14ac:dyDescent="0.3"/>
  <cols>
    <col min="1" max="1" width="99.1640625" bestFit="1" customWidth="1"/>
  </cols>
  <sheetData>
    <row r="1" spans="1:1" x14ac:dyDescent="0.3">
      <c r="A1" s="1" t="s">
        <v>142</v>
      </c>
    </row>
    <row r="2" spans="1:1" x14ac:dyDescent="0.3">
      <c r="A2" s="1" t="s">
        <v>143</v>
      </c>
    </row>
    <row r="3" spans="1:1" x14ac:dyDescent="0.3">
      <c r="A3" s="1"/>
    </row>
    <row r="4" spans="1:1" x14ac:dyDescent="0.3">
      <c r="A4" s="1" t="s">
        <v>144</v>
      </c>
    </row>
    <row r="5" spans="1:1" x14ac:dyDescent="0.3">
      <c r="A5" s="1" t="s">
        <v>145</v>
      </c>
    </row>
    <row r="6" spans="1:1" x14ac:dyDescent="0.3">
      <c r="A6" s="1"/>
    </row>
    <row r="7" spans="1:1" x14ac:dyDescent="0.3">
      <c r="A7" s="1" t="s">
        <v>146</v>
      </c>
    </row>
    <row r="8" spans="1:1" x14ac:dyDescent="0.3">
      <c r="A8" s="1" t="s">
        <v>147</v>
      </c>
    </row>
    <row r="9" spans="1:1" x14ac:dyDescent="0.3">
      <c r="A9" s="1"/>
    </row>
    <row r="10" spans="1:1" x14ac:dyDescent="0.3">
      <c r="A10" s="1" t="s">
        <v>148</v>
      </c>
    </row>
    <row r="11" spans="1:1" x14ac:dyDescent="0.3">
      <c r="A11" s="1" t="s">
        <v>149</v>
      </c>
    </row>
    <row r="12" spans="1:1" x14ac:dyDescent="0.3">
      <c r="A12" s="1"/>
    </row>
    <row r="13" spans="1:1" x14ac:dyDescent="0.3">
      <c r="A13" s="1" t="s">
        <v>150</v>
      </c>
    </row>
    <row r="14" spans="1:1" x14ac:dyDescent="0.3">
      <c r="A14" s="1" t="s">
        <v>151</v>
      </c>
    </row>
    <row r="15" spans="1:1" x14ac:dyDescent="0.3">
      <c r="A15" s="1"/>
    </row>
    <row r="16" spans="1:1" x14ac:dyDescent="0.3">
      <c r="A16" s="1" t="s">
        <v>152</v>
      </c>
    </row>
    <row r="17" spans="1:1" x14ac:dyDescent="0.3">
      <c r="A17" s="1" t="s">
        <v>153</v>
      </c>
    </row>
    <row r="18" spans="1:1" x14ac:dyDescent="0.3">
      <c r="A18" s="1"/>
    </row>
    <row r="19" spans="1:1" x14ac:dyDescent="0.3">
      <c r="A19" s="1" t="s">
        <v>154</v>
      </c>
    </row>
    <row r="20" spans="1:1" x14ac:dyDescent="0.3">
      <c r="A20" s="1" t="s">
        <v>155</v>
      </c>
    </row>
    <row r="21" spans="1:1" x14ac:dyDescent="0.3">
      <c r="A21" s="1"/>
    </row>
    <row r="22" spans="1:1" x14ac:dyDescent="0.3">
      <c r="A22" s="1" t="s">
        <v>156</v>
      </c>
    </row>
    <row r="23" spans="1:1" x14ac:dyDescent="0.3">
      <c r="A23" s="1" t="s">
        <v>157</v>
      </c>
    </row>
    <row r="24" spans="1:1" x14ac:dyDescent="0.3">
      <c r="A24" s="1"/>
    </row>
    <row r="25" spans="1:1" x14ac:dyDescent="0.3">
      <c r="A25" s="1" t="s">
        <v>158</v>
      </c>
    </row>
    <row r="26" spans="1:1" x14ac:dyDescent="0.3">
      <c r="A26" s="1" t="s">
        <v>159</v>
      </c>
    </row>
    <row r="27" spans="1:1" x14ac:dyDescent="0.3">
      <c r="A27" s="1"/>
    </row>
    <row r="28" spans="1:1" x14ac:dyDescent="0.3">
      <c r="A28" s="1" t="s">
        <v>160</v>
      </c>
    </row>
    <row r="29" spans="1:1" x14ac:dyDescent="0.3">
      <c r="A29" s="1" t="s">
        <v>161</v>
      </c>
    </row>
    <row r="30" spans="1:1" x14ac:dyDescent="0.3">
      <c r="A30" s="1"/>
    </row>
    <row r="31" spans="1:1" x14ac:dyDescent="0.3">
      <c r="A31" s="1" t="s">
        <v>162</v>
      </c>
    </row>
    <row r="32" spans="1:1" x14ac:dyDescent="0.3">
      <c r="A32" s="1" t="s">
        <v>163</v>
      </c>
    </row>
    <row r="33" spans="1:1" x14ac:dyDescent="0.3">
      <c r="A33" s="1"/>
    </row>
    <row r="34" spans="1:1" x14ac:dyDescent="0.3">
      <c r="A34" s="1" t="s">
        <v>164</v>
      </c>
    </row>
    <row r="35" spans="1:1" x14ac:dyDescent="0.3">
      <c r="A35" s="1" t="s">
        <v>165</v>
      </c>
    </row>
    <row r="36" spans="1:1" x14ac:dyDescent="0.3">
      <c r="A36" s="1"/>
    </row>
    <row r="37" spans="1:1" x14ac:dyDescent="0.3">
      <c r="A37" s="1" t="s">
        <v>166</v>
      </c>
    </row>
    <row r="38" spans="1:1" x14ac:dyDescent="0.3">
      <c r="A38" s="1" t="s">
        <v>167</v>
      </c>
    </row>
    <row r="39" spans="1:1" x14ac:dyDescent="0.3">
      <c r="A39" s="1"/>
    </row>
    <row r="40" spans="1:1" x14ac:dyDescent="0.3">
      <c r="A40" s="1" t="s">
        <v>168</v>
      </c>
    </row>
    <row r="41" spans="1:1" x14ac:dyDescent="0.3">
      <c r="A41" s="1" t="s">
        <v>169</v>
      </c>
    </row>
    <row r="42" spans="1:1" x14ac:dyDescent="0.3">
      <c r="A42" s="1"/>
    </row>
    <row r="43" spans="1:1" x14ac:dyDescent="0.3">
      <c r="A43" s="1" t="s">
        <v>170</v>
      </c>
    </row>
    <row r="44" spans="1:1" x14ac:dyDescent="0.3">
      <c r="A44" s="1" t="s">
        <v>171</v>
      </c>
    </row>
    <row r="45" spans="1:1" x14ac:dyDescent="0.3">
      <c r="A45" s="1"/>
    </row>
    <row r="46" spans="1:1" x14ac:dyDescent="0.3">
      <c r="A46" s="1" t="s">
        <v>172</v>
      </c>
    </row>
    <row r="47" spans="1:1" x14ac:dyDescent="0.3">
      <c r="A47" s="1" t="s">
        <v>173</v>
      </c>
    </row>
    <row r="48" spans="1:1" x14ac:dyDescent="0.3">
      <c r="A48" s="1"/>
    </row>
    <row r="49" spans="1:1" x14ac:dyDescent="0.3">
      <c r="A49" s="1" t="s">
        <v>174</v>
      </c>
    </row>
    <row r="50" spans="1:1" x14ac:dyDescent="0.3">
      <c r="A50" s="1" t="s">
        <v>175</v>
      </c>
    </row>
    <row r="51" spans="1:1" x14ac:dyDescent="0.3">
      <c r="A51" s="1"/>
    </row>
    <row r="52" spans="1:1" x14ac:dyDescent="0.3">
      <c r="A52" s="1" t="s">
        <v>176</v>
      </c>
    </row>
    <row r="53" spans="1:1" x14ac:dyDescent="0.3">
      <c r="A53" s="1" t="s">
        <v>177</v>
      </c>
    </row>
    <row r="54" spans="1:1" x14ac:dyDescent="0.3">
      <c r="A54" s="1"/>
    </row>
    <row r="55" spans="1:1" x14ac:dyDescent="0.3">
      <c r="A55" s="1" t="s">
        <v>178</v>
      </c>
    </row>
    <row r="56" spans="1:1" x14ac:dyDescent="0.3">
      <c r="A56" s="1" t="s">
        <v>179</v>
      </c>
    </row>
    <row r="57" spans="1:1" x14ac:dyDescent="0.3">
      <c r="A57" s="1"/>
    </row>
    <row r="58" spans="1:1" x14ac:dyDescent="0.3">
      <c r="A58" s="1" t="s">
        <v>180</v>
      </c>
    </row>
    <row r="59" spans="1:1" x14ac:dyDescent="0.3">
      <c r="A59" s="1" t="s">
        <v>181</v>
      </c>
    </row>
    <row r="61" spans="1:1" x14ac:dyDescent="0.3">
      <c r="A61" t="s">
        <v>182</v>
      </c>
    </row>
    <row r="62" spans="1:1" x14ac:dyDescent="0.3">
      <c r="A62" t="s">
        <v>183</v>
      </c>
    </row>
    <row r="64" spans="1:1" x14ac:dyDescent="0.3">
      <c r="A64" t="s">
        <v>184</v>
      </c>
    </row>
    <row r="65" spans="1:1" x14ac:dyDescent="0.3">
      <c r="A65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70" spans="1:1" x14ac:dyDescent="0.3">
      <c r="A70" t="s">
        <v>188</v>
      </c>
    </row>
    <row r="71" spans="1:1" x14ac:dyDescent="0.3">
      <c r="A71" t="s">
        <v>189</v>
      </c>
    </row>
    <row r="73" spans="1:1" x14ac:dyDescent="0.3">
      <c r="A73" t="s">
        <v>190</v>
      </c>
    </row>
    <row r="74" spans="1:1" x14ac:dyDescent="0.3">
      <c r="A74" t="s">
        <v>191</v>
      </c>
    </row>
    <row r="76" spans="1:1" x14ac:dyDescent="0.3">
      <c r="A76" t="s">
        <v>192</v>
      </c>
    </row>
    <row r="77" spans="1:1" x14ac:dyDescent="0.3">
      <c r="A77" t="s">
        <v>193</v>
      </c>
    </row>
    <row r="79" spans="1:1" x14ac:dyDescent="0.3">
      <c r="A79" t="s">
        <v>194</v>
      </c>
    </row>
    <row r="80" spans="1:1" x14ac:dyDescent="0.3">
      <c r="A80" t="s">
        <v>195</v>
      </c>
    </row>
    <row r="82" spans="1:1" x14ac:dyDescent="0.3">
      <c r="A82" t="s">
        <v>196</v>
      </c>
    </row>
    <row r="83" spans="1:1" x14ac:dyDescent="0.3">
      <c r="A83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8" spans="1:1" x14ac:dyDescent="0.3">
      <c r="A88" t="s">
        <v>200</v>
      </c>
    </row>
    <row r="89" spans="1:1" x14ac:dyDescent="0.3">
      <c r="A89" t="s">
        <v>201</v>
      </c>
    </row>
    <row r="91" spans="1:1" x14ac:dyDescent="0.3">
      <c r="A91" t="s">
        <v>202</v>
      </c>
    </row>
    <row r="92" spans="1:1" x14ac:dyDescent="0.3">
      <c r="A92" t="s">
        <v>203</v>
      </c>
    </row>
    <row r="94" spans="1:1" x14ac:dyDescent="0.3">
      <c r="A94" t="s">
        <v>204</v>
      </c>
    </row>
    <row r="95" spans="1:1" x14ac:dyDescent="0.3">
      <c r="A95" t="s">
        <v>205</v>
      </c>
    </row>
    <row r="97" spans="1:1" x14ac:dyDescent="0.3">
      <c r="A97" t="s">
        <v>206</v>
      </c>
    </row>
    <row r="98" spans="1:1" x14ac:dyDescent="0.3">
      <c r="A98" t="s">
        <v>207</v>
      </c>
    </row>
    <row r="100" spans="1:1" x14ac:dyDescent="0.3">
      <c r="A100" t="s">
        <v>208</v>
      </c>
    </row>
    <row r="101" spans="1:1" x14ac:dyDescent="0.3">
      <c r="A101" t="s">
        <v>209</v>
      </c>
    </row>
    <row r="103" spans="1:1" x14ac:dyDescent="0.3">
      <c r="A103" t="s">
        <v>210</v>
      </c>
    </row>
    <row r="104" spans="1:1" x14ac:dyDescent="0.3">
      <c r="A104" t="s">
        <v>211</v>
      </c>
    </row>
    <row r="106" spans="1:1" x14ac:dyDescent="0.3">
      <c r="A106" t="s">
        <v>212</v>
      </c>
    </row>
    <row r="107" spans="1:1" x14ac:dyDescent="0.3">
      <c r="A107" t="s">
        <v>213</v>
      </c>
    </row>
    <row r="109" spans="1:1" x14ac:dyDescent="0.3">
      <c r="A109" t="s">
        <v>214</v>
      </c>
    </row>
    <row r="110" spans="1:1" x14ac:dyDescent="0.3">
      <c r="A110" t="s">
        <v>215</v>
      </c>
    </row>
    <row r="112" spans="1:1" x14ac:dyDescent="0.3">
      <c r="A112" t="s">
        <v>216</v>
      </c>
    </row>
    <row r="113" spans="1:1" x14ac:dyDescent="0.3">
      <c r="A113" t="s">
        <v>217</v>
      </c>
    </row>
    <row r="115" spans="1:1" x14ac:dyDescent="0.3">
      <c r="A115" t="s">
        <v>218</v>
      </c>
    </row>
    <row r="116" spans="1:1" x14ac:dyDescent="0.3">
      <c r="A116" t="s">
        <v>219</v>
      </c>
    </row>
    <row r="118" spans="1:1" x14ac:dyDescent="0.3">
      <c r="A118" t="s">
        <v>220</v>
      </c>
    </row>
    <row r="119" spans="1:1" x14ac:dyDescent="0.3">
      <c r="A119" t="s">
        <v>221</v>
      </c>
    </row>
    <row r="121" spans="1:1" x14ac:dyDescent="0.3">
      <c r="A121" t="s">
        <v>222</v>
      </c>
    </row>
    <row r="122" spans="1:1" x14ac:dyDescent="0.3">
      <c r="A122" t="s">
        <v>223</v>
      </c>
    </row>
    <row r="124" spans="1:1" x14ac:dyDescent="0.3">
      <c r="A124" t="s">
        <v>224</v>
      </c>
    </row>
    <row r="125" spans="1:1" x14ac:dyDescent="0.3">
      <c r="A125" t="s">
        <v>225</v>
      </c>
    </row>
    <row r="127" spans="1:1" x14ac:dyDescent="0.3">
      <c r="A12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10.201.0.69_ads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2025-12-12T16:17:07Z</dcterms:created>
  <dcterms:modified xsi:type="dcterms:W3CDTF">2025-12-15T14:35:00Z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2025-12-12T16:17:07Z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43f94b2d-3033-441e-bd10-e406ba050d96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