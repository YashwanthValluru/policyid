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data\output_csvs\"/>
    </mc:Choice>
  </mc:AlternateContent>
  <xr:revisionPtr revIDLastSave="0" documentId="13_ncr:1_{0E90C50A-107D-49E5-BA5B-9E705E25A66F}" xr6:coauthVersionLast="47" xr6:coauthVersionMax="47" xr10:uidLastSave="{00000000-0000-0000-0000-000000000000}"/>
  <bookViews>
    <workbookView xWindow="-110" yWindow="-110" windowWidth="19420" windowHeight="11500" activeTab="1" xr2:uid="{D6311B94-D079-460F-A291-14DDE5FC53D3}"/>
  </bookViews>
  <sheets>
    <sheet name="10.201.0.72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2" i="1"/>
  <c r="N2" i="1"/>
  <c r="N3" i="1"/>
  <c r="N4" i="1"/>
  <c r="N5" i="1"/>
  <c r="N6" i="1"/>
  <c r="N7" i="1"/>
  <c r="N8" i="1"/>
  <c r="N9" i="1"/>
  <c r="N10" i="1"/>
  <c r="N11" i="1"/>
  <c r="N12" i="1"/>
</calcChain>
</file>

<file path=xl/sharedStrings.xml><?xml version="1.0" encoding="utf-8"?>
<sst xmlns="http://schemas.openxmlformats.org/spreadsheetml/2006/main" count="134" uniqueCount="71">
  <si>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</si>
  <si>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</si>
  <si>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</si>
  <si>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</si>
  <si>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</si>
  <si>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</si>
  <si>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</si>
  <si>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</si>
  <si>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</si>
  <si>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</si>
  <si>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</si>
  <si>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</si>
  <si>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</si>
  <si>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</si>
  <si>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</si>
  <si>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10.72.42.5</t>
  </si>
  <si>
    <t>tcp</t>
  </si>
  <si>
    <t>ads-rule-10009</t>
  </si>
  <si>
    <t>From ADS data. Allow from 44.168.32.144</t>
  </si>
  <si>
    <t>ads-rule-10010</t>
  </si>
  <si>
    <t>From ADS data. Allow from 10.201.58.28</t>
  </si>
  <si>
    <t>ads-rule-10012</t>
  </si>
  <si>
    <t>From ADS data. Allow from 10.201.3.52</t>
  </si>
  <si>
    <t>ads-rule-10013</t>
  </si>
  <si>
    <t>From ADS data. Allow from 44.168.32.145</t>
  </si>
  <si>
    <t>ads-rule-10014</t>
  </si>
  <si>
    <t>ads-rule-10015</t>
  </si>
  <si>
    <t>From ADS data. Allow from 10.201.4.57</t>
  </si>
  <si>
    <t>ads-rule-10016</t>
  </si>
  <si>
    <t>From ADS data. Allow from 10.196.17.160</t>
  </si>
  <si>
    <t>ads-rule-10017</t>
  </si>
  <si>
    <t>From ADS data. Allow from 10.201.58.20</t>
  </si>
  <si>
    <t>ads-rule-10018</t>
  </si>
  <si>
    <t>ads-rule-10019</t>
  </si>
  <si>
    <t>10.72.42.5</t>
  </si>
  <si>
    <t>44.168.32.144</t>
  </si>
  <si>
    <t>10.201.58.28</t>
  </si>
  <si>
    <t>10.201.3.52</t>
  </si>
  <si>
    <t>44.168.32.145</t>
  </si>
  <si>
    <t>10.201.4.57</t>
  </si>
  <si>
    <t>10.196.17.160</t>
  </si>
  <si>
    <t>10.201.58.20</t>
  </si>
  <si>
    <t>get router info routing-table details</t>
  </si>
  <si>
    <t>E2-EH-AGN</t>
  </si>
  <si>
    <t>E2-EH-DEVJUMP</t>
  </si>
  <si>
    <t>E2-EH-ADMOPE-1</t>
  </si>
  <si>
    <t>E2-EH-CRITICAL</t>
  </si>
  <si>
    <t>diagnose firewall iprope lookup</t>
  </si>
  <si>
    <t>FR-E2-FW-EH-1-FNET $ diagnose firewall iprope lookup 10.72.42.5 22 10.201.0.72 22 tcp E2-EH-AGN</t>
  </si>
  <si>
    <t>&lt;src [10.72.42.5-22] dst [10.201.0.72-22] proto tcp dev E2-EH-AGN&gt; matches policy id: 8870</t>
  </si>
  <si>
    <t>FR-E2-FW-EH-1-FNET $ diagnose firewall iprope lookup 44.168.32.144 22 10.201.0.72 22 tcp E2-EH-AGN</t>
  </si>
  <si>
    <t>&lt;src [44.168.32.144-22] dst [10.201.0.72-22] proto tcp dev E2-EH-AGN&gt; matches policy id: 4151</t>
  </si>
  <si>
    <t>FR-E2-FW-EH-1-FNET $ diagnose firewall iprope lookup 10.201.58.28 22 10.201.0.72 22 tcp E2-EH-DEVJUMP</t>
  </si>
  <si>
    <t>&lt;src [10.201.58.28-22] dst [10.201.0.72-22] proto tcp dev E2-EH-DEVJUMP&gt; matches policy id: 3570</t>
  </si>
  <si>
    <t>FR-E2-FW-EH-1-FNET $ diagnose firewall iprope lookup 10.201.3.52 22 10.201.0.72 22 tcp E2-EH-ADMOPE-1</t>
  </si>
  <si>
    <t>&lt;src [10.201.3.52-22] dst [10.201.0.72-22] proto tcp dev E2-EH-ADMOPE-1&gt; matches policy id: 683</t>
  </si>
  <si>
    <t>FR-E2-FW-EH-1-FNET $ diagnose firewall iprope lookup 44.168.32.145 22 10.201.0.72 22 tcp E2-EH-AGN</t>
  </si>
  <si>
    <t>&lt;src [44.168.32.145-22] dst [10.201.0.72-22] proto tcp dev E2-EH-AGN&gt; matches policy id: 4151</t>
  </si>
  <si>
    <t>FR-E2-FW-EH-1-FNET $ diagnose firewall iprope lookup 44.168.32.145 80 10.201.0.72 80 tcp E2-EH-AGN</t>
  </si>
  <si>
    <t>&lt;src [44.168.32.145-80] dst [10.201.0.72-80] proto tcp dev E2-EH-AGN&gt; matches policy id: 4151</t>
  </si>
  <si>
    <t>FR-E2-FW-EH-1-FNET $ diagnose firewall iprope lookup 10.201.4.57 22 10.201.0.72 22 tcp E2-EH-CRITICAL</t>
  </si>
  <si>
    <t>&lt;src [10.201.4.57-22] dst [10.201.0.72-22] proto tcp dev E2-EH-CRITICAL&gt; matches policy id: 677</t>
  </si>
  <si>
    <t>FR-E2-FW-EH-1-FNET $ diagnose firewall iprope lookup 10.196.17.160 80 10.201.0.72 80 tcp E2-EH-AGN</t>
  </si>
  <si>
    <t>&lt;src [10.196.17.160-80] dst [10.201.0.72-80] proto tcp dev E2-EH-AGN&gt; matches policy id: 4151</t>
  </si>
  <si>
    <t>FR-E2-FW-EH-1-FNET $ diagnose firewall iprope lookup 10.201.58.20 22 10.201.0.72 22 tcp E2-EH-DEVJUMP</t>
  </si>
  <si>
    <t>&lt;src [10.201.58.20-22] dst [10.201.0.72-22] proto tcp dev E2-EH-DEVJUMP&gt; matches policy id: 3570</t>
  </si>
  <si>
    <t>FR-E2-FW-EH-1-FNET $ diagnose firewall iprope lookup 10.201.58.20 8080 10.201.0.72 8080 tcp E2-EH-DEVJUMP</t>
  </si>
  <si>
    <t>&lt;src [10.201.58.20-8080] dst [10.201.0.72-8080] proto tcp dev E2-EH-DEVJUMP&gt; matches policy id: 3570</t>
  </si>
  <si>
    <t>FR-E2-FW-EH-1-FNET $ diagnose firewall iprope lookup 10.201.58.20 80 10.201.0.72 80 tcp E2-EH-DEVJUMP</t>
  </si>
  <si>
    <t>&lt;src [10.201.58.20-80] dst [10.201.0.72-80] proto tcp dev E2-EH-DEVJUMP&gt; matches policy id: 3570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</si>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</sst>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B602-FC78-4CC5-9E33-31FEC5522E30}">
  <dimension ref="A1:R12"/>
  <sheetViews>
    <sheetView topLeftCell="O1" zoomScale="80" zoomScaleNormal="80" workbookViewId="0">
      <selection activeCell="R12" sqref="R2:R12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5.33203125" bestFit="1" customWidth="1"/>
    <col min="5" max="5" width="14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9.75" bestFit="1" customWidth="1"/>
    <col min="14" max="14" width="52.4140625" bestFit="1" customWidth="1"/>
    <col min="15" max="17" width="27.08203125" bestFit="1" customWidth="1"/>
    <col min="18" max="18" width="78.08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34</v>
      </c>
      <c r="I2" t="s">
        <v>16</v>
      </c>
      <c r="J2">
        <v>22</v>
      </c>
      <c r="K2">
        <v>22</v>
      </c>
      <c r="M2" t="s">
        <v>42</v>
      </c>
      <c r="N2" t="str">
        <f>_xlfn.CONCAT(M2," ",E2, " | grep -f *")</f>
        <v>get router info routing-table details 10.72.42.5 | grep -f *</v>
      </c>
      <c r="P2" t="s">
        <v>43</v>
      </c>
      <c r="Q2" t="s">
        <v>47</v>
      </c>
      <c r="R2" t="str">
        <f>_xlfn.CONCAT(Q2," ", E2, " ",J2," 10.201.0.72 ",K2," tcp ",P2 )</f>
        <v>diagnose firewall iprope lookup 10.72.42.5 22 10.201.0.72 22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35</v>
      </c>
      <c r="I3" t="s">
        <v>16</v>
      </c>
      <c r="J3">
        <v>22</v>
      </c>
      <c r="K3">
        <v>22</v>
      </c>
      <c r="M3" t="s">
        <v>42</v>
      </c>
      <c r="N3" t="str">
        <f t="shared" ref="N3:N12" si="0">_xlfn.CONCAT(M3," ",E3, " | grep -f *")</f>
        <v>get router info routing-table details 44.168.32.144 | grep -f *</v>
      </c>
      <c r="P3" t="s">
        <v>43</v>
      </c>
      <c r="Q3" t="s">
        <v>47</v>
      </c>
      <c r="R3" t="str">
        <f t="shared" ref="R3:R12" si="1">_xlfn.CONCAT(Q3," ", E3, " ",J3," 10.201.0.72 ",K3," tcp ",P3 )</f>
        <v>diagnose firewall iprope lookup 44.168.32.144 22 10.201.0.72 22 tcp E2-EH-AGN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36</v>
      </c>
      <c r="I4" t="s">
        <v>16</v>
      </c>
      <c r="J4">
        <v>22</v>
      </c>
      <c r="K4">
        <v>22</v>
      </c>
      <c r="M4" t="s">
        <v>42</v>
      </c>
      <c r="N4" t="str">
        <f t="shared" si="0"/>
        <v>get router info routing-table details 10.201.58.28 | grep -f *</v>
      </c>
      <c r="P4" t="s">
        <v>44</v>
      </c>
      <c r="Q4" t="s">
        <v>47</v>
      </c>
      <c r="R4" t="str">
        <f t="shared" si="1"/>
        <v>diagnose firewall iprope lookup 10.201.58.28 22 10.201.0.72 22 tcp E2-EH-DEVJUMP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37</v>
      </c>
      <c r="I5" t="s">
        <v>16</v>
      </c>
      <c r="J5">
        <v>22</v>
      </c>
      <c r="K5">
        <v>22</v>
      </c>
      <c r="M5" t="s">
        <v>42</v>
      </c>
      <c r="N5" t="str">
        <f t="shared" si="0"/>
        <v>get router info routing-table details 10.201.3.52 | grep -f *</v>
      </c>
      <c r="P5" t="s">
        <v>45</v>
      </c>
      <c r="Q5" t="s">
        <v>47</v>
      </c>
      <c r="R5" t="str">
        <f t="shared" si="1"/>
        <v>diagnose firewall iprope lookup 10.201.3.52 22 10.201.0.72 22 tcp E2-EH-ADMOPE-1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38</v>
      </c>
      <c r="I6" t="s">
        <v>16</v>
      </c>
      <c r="J6">
        <v>22</v>
      </c>
      <c r="K6">
        <v>22</v>
      </c>
      <c r="M6" t="s">
        <v>42</v>
      </c>
      <c r="N6" t="str">
        <f t="shared" si="0"/>
        <v>get router info routing-table details 44.168.32.145 | grep -f *</v>
      </c>
      <c r="P6" t="s">
        <v>43</v>
      </c>
      <c r="Q6" t="s">
        <v>47</v>
      </c>
      <c r="R6" t="str">
        <f t="shared" si="1"/>
        <v>diagnose firewall iprope lookup 44.168.32.145 22 10.201.0.72 22 tcp E2-EH-AGN</v>
      </c>
    </row>
    <row r="7" spans="1:18" x14ac:dyDescent="0.3">
      <c r="A7" t="s">
        <v>12</v>
      </c>
      <c r="B7" t="s">
        <v>13</v>
      </c>
      <c r="C7" t="s">
        <v>25</v>
      </c>
      <c r="D7" t="s">
        <v>24</v>
      </c>
      <c r="E7" t="s">
        <v>38</v>
      </c>
      <c r="I7" t="s">
        <v>16</v>
      </c>
      <c r="J7">
        <v>80</v>
      </c>
      <c r="K7">
        <v>80</v>
      </c>
      <c r="M7" t="s">
        <v>42</v>
      </c>
      <c r="N7" t="str">
        <f t="shared" si="0"/>
        <v>get router info routing-table details 44.168.32.145 | grep -f *</v>
      </c>
      <c r="P7" t="s">
        <v>43</v>
      </c>
      <c r="Q7" t="s">
        <v>47</v>
      </c>
      <c r="R7" t="str">
        <f t="shared" si="1"/>
        <v>diagnose firewall iprope lookup 44.168.32.145 80 10.201.0.72 80 tcp E2-EH-AGN</v>
      </c>
    </row>
    <row r="8" spans="1:18" x14ac:dyDescent="0.3">
      <c r="A8" t="s">
        <v>12</v>
      </c>
      <c r="B8" t="s">
        <v>13</v>
      </c>
      <c r="C8" t="s">
        <v>26</v>
      </c>
      <c r="D8" t="s">
        <v>27</v>
      </c>
      <c r="E8" t="s">
        <v>39</v>
      </c>
      <c r="I8" t="s">
        <v>16</v>
      </c>
      <c r="J8">
        <v>22</v>
      </c>
      <c r="K8">
        <v>22</v>
      </c>
      <c r="M8" t="s">
        <v>42</v>
      </c>
      <c r="N8" t="str">
        <f t="shared" si="0"/>
        <v>get router info routing-table details 10.201.4.57 | grep -f *</v>
      </c>
      <c r="P8" t="s">
        <v>46</v>
      </c>
      <c r="Q8" t="s">
        <v>47</v>
      </c>
      <c r="R8" t="str">
        <f t="shared" si="1"/>
        <v>diagnose firewall iprope lookup 10.201.4.57 22 10.201.0.72 22 tcp E2-EH-CRITICAL</v>
      </c>
    </row>
    <row r="9" spans="1:18" x14ac:dyDescent="0.3">
      <c r="A9" t="s">
        <v>12</v>
      </c>
      <c r="B9" t="s">
        <v>13</v>
      </c>
      <c r="C9" t="s">
        <v>28</v>
      </c>
      <c r="D9" t="s">
        <v>29</v>
      </c>
      <c r="E9" t="s">
        <v>40</v>
      </c>
      <c r="I9" t="s">
        <v>16</v>
      </c>
      <c r="J9">
        <v>80</v>
      </c>
      <c r="K9">
        <v>80</v>
      </c>
      <c r="M9" t="s">
        <v>42</v>
      </c>
      <c r="N9" t="str">
        <f t="shared" si="0"/>
        <v>get router info routing-table details 10.196.17.160 | grep -f *</v>
      </c>
      <c r="P9" t="s">
        <v>43</v>
      </c>
      <c r="Q9" t="s">
        <v>47</v>
      </c>
      <c r="R9" t="str">
        <f t="shared" si="1"/>
        <v>diagnose firewall iprope lookup 10.196.17.160 80 10.201.0.72 80 tcp E2-EH-AGN</v>
      </c>
    </row>
    <row r="10" spans="1:18" x14ac:dyDescent="0.3">
      <c r="A10" t="s">
        <v>12</v>
      </c>
      <c r="B10" t="s">
        <v>13</v>
      </c>
      <c r="C10" t="s">
        <v>30</v>
      </c>
      <c r="D10" t="s">
        <v>31</v>
      </c>
      <c r="E10" t="s">
        <v>41</v>
      </c>
      <c r="I10" t="s">
        <v>16</v>
      </c>
      <c r="J10">
        <v>22</v>
      </c>
      <c r="K10">
        <v>22</v>
      </c>
      <c r="M10" t="s">
        <v>42</v>
      </c>
      <c r="N10" t="str">
        <f t="shared" si="0"/>
        <v>get router info routing-table details 10.201.58.20 | grep -f *</v>
      </c>
      <c r="P10" t="s">
        <v>44</v>
      </c>
      <c r="Q10" t="s">
        <v>47</v>
      </c>
      <c r="R10" t="str">
        <f t="shared" si="1"/>
        <v>diagnose firewall iprope lookup 10.201.58.20 22 10.201.0.72 22 tcp E2-EH-DEVJUMP</v>
      </c>
    </row>
    <row r="11" spans="1:18" x14ac:dyDescent="0.3">
      <c r="A11" t="s">
        <v>12</v>
      </c>
      <c r="B11" t="s">
        <v>13</v>
      </c>
      <c r="C11" t="s">
        <v>32</v>
      </c>
      <c r="D11" t="s">
        <v>31</v>
      </c>
      <c r="E11" t="s">
        <v>41</v>
      </c>
      <c r="I11" t="s">
        <v>16</v>
      </c>
      <c r="J11">
        <v>8080</v>
      </c>
      <c r="K11">
        <v>8080</v>
      </c>
      <c r="M11" t="s">
        <v>42</v>
      </c>
      <c r="N11" t="str">
        <f t="shared" si="0"/>
        <v>get router info routing-table details 10.201.58.20 | grep -f *</v>
      </c>
      <c r="P11" t="s">
        <v>44</v>
      </c>
      <c r="Q11" t="s">
        <v>47</v>
      </c>
      <c r="R11" t="str">
        <f t="shared" si="1"/>
        <v>diagnose firewall iprope lookup 10.201.58.20 8080 10.201.0.72 8080 tcp E2-EH-DEVJUMP</v>
      </c>
    </row>
    <row r="12" spans="1:18" x14ac:dyDescent="0.3">
      <c r="A12" t="s">
        <v>12</v>
      </c>
      <c r="B12" t="s">
        <v>13</v>
      </c>
      <c r="C12" t="s">
        <v>33</v>
      </c>
      <c r="D12" t="s">
        <v>31</v>
      </c>
      <c r="E12" t="s">
        <v>41</v>
      </c>
      <c r="I12" t="s">
        <v>16</v>
      </c>
      <c r="J12">
        <v>80</v>
      </c>
      <c r="K12">
        <v>80</v>
      </c>
      <c r="M12" t="s">
        <v>42</v>
      </c>
      <c r="N12" t="str">
        <f t="shared" si="0"/>
        <v>get router info routing-table details 10.201.58.20 | grep -f *</v>
      </c>
      <c r="P12" t="s">
        <v>44</v>
      </c>
      <c r="Q12" t="s">
        <v>47</v>
      </c>
      <c r="R12" t="str">
        <f t="shared" si="1"/>
        <v>diagnose firewall iprope lookup 10.201.58.20 80 10.201.0.72 80 tcp E2-EH-DEVJUMP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1E88-2FC5-439F-981F-D869CA9CBCF9}">
  <dimension ref="A2:A35"/>
  <sheetViews>
    <sheetView tabSelected="1" workbookViewId="0">
      <selection activeCell="A15" sqref="A15"/>
    </sheetView>
  </sheetViews>
  <sheetFormatPr defaultRowHeight="14" x14ac:dyDescent="0.3"/>
  <cols>
    <col min="1" max="1" width="96.33203125" bestFit="1" customWidth="1"/>
  </cols>
  <sheetData>
    <row r="2" spans="1:1" x14ac:dyDescent="0.3">
      <c r="A2" t="s">
        <v>48</v>
      </c>
    </row>
    <row r="3" spans="1:1" x14ac:dyDescent="0.3">
      <c r="A3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1" spans="1:1" x14ac:dyDescent="0.3">
      <c r="A11" t="s">
        <v>54</v>
      </c>
    </row>
    <row r="12" spans="1:1" x14ac:dyDescent="0.3">
      <c r="A12" t="s">
        <v>55</v>
      </c>
    </row>
    <row r="14" spans="1:1" x14ac:dyDescent="0.3">
      <c r="A14" t="s">
        <v>56</v>
      </c>
    </row>
    <row r="15" spans="1:1" x14ac:dyDescent="0.3">
      <c r="A15" t="s">
        <v>57</v>
      </c>
    </row>
    <row r="17" spans="1:1" x14ac:dyDescent="0.3">
      <c r="A17" t="s">
        <v>58</v>
      </c>
    </row>
    <row r="18" spans="1:1" x14ac:dyDescent="0.3">
      <c r="A18" t="s">
        <v>59</v>
      </c>
    </row>
    <row r="20" spans="1:1" x14ac:dyDescent="0.3">
      <c r="A20" t="s">
        <v>60</v>
      </c>
    </row>
    <row r="21" spans="1:1" x14ac:dyDescent="0.3">
      <c r="A21" t="s">
        <v>61</v>
      </c>
    </row>
    <row r="23" spans="1:1" x14ac:dyDescent="0.3">
      <c r="A23" t="s">
        <v>62</v>
      </c>
    </row>
    <row r="24" spans="1:1" x14ac:dyDescent="0.3">
      <c r="A24" t="s">
        <v>63</v>
      </c>
    </row>
    <row r="26" spans="1:1" x14ac:dyDescent="0.3">
      <c r="A26" t="s">
        <v>64</v>
      </c>
    </row>
    <row r="27" spans="1:1" x14ac:dyDescent="0.3">
      <c r="A27" t="s">
        <v>65</v>
      </c>
    </row>
    <row r="29" spans="1:1" x14ac:dyDescent="0.3">
      <c r="A29" t="s">
        <v>66</v>
      </c>
    </row>
    <row r="30" spans="1:1" x14ac:dyDescent="0.3">
      <c r="A30" t="s">
        <v>67</v>
      </c>
    </row>
    <row r="32" spans="1:1" x14ac:dyDescent="0.3">
      <c r="A32" t="s">
        <v>68</v>
      </c>
    </row>
    <row r="33" spans="1:1" x14ac:dyDescent="0.3">
      <c r="A33" t="s">
        <v>69</v>
      </c>
    </row>
    <row r="35" spans="1:1" x14ac:dyDescent="0.3">
      <c r="A3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10.201.0.72_ads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2025-12-12T16:49:22Z</dcterms:created>
  <dcterms:modified xsi:type="dcterms:W3CDTF">2025-12-12T17:13:13Z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2025-12-12T16:49:22Z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ce0561e2-6df4-45c5-9ac0-ec9e25772727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