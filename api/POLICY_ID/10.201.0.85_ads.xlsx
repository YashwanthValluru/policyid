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UTTA\Downloads\New folder (2)\"/>
    </mc:Choice>
  </mc:AlternateContent>
  <xr:revisionPtr revIDLastSave="0" documentId="13_ncr:1_{744A853E-6766-4EC4-A9F1-3F1F1C1889D2}" xr6:coauthVersionLast="47" xr6:coauthVersionMax="47" xr10:uidLastSave="{00000000-0000-0000-0000-000000000000}"/>
  <bookViews>
    <workbookView xWindow="-110" yWindow="-110" windowWidth="19420" windowHeight="11500" activeTab="1" xr2:uid="{84E3D536-E610-4310-BA60-AE0CB0343838}"/>
  </bookViews>
  <sheets>
    <sheet name="10.201.0.85_ads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" i="1"/>
</calcChain>
</file>

<file path=xl/sharedStrings.xml><?xml version="1.0" encoding="utf-8"?>
<sst xmlns="http://schemas.openxmlformats.org/spreadsheetml/2006/main" count="244" uniqueCount="112">
  <si>
    <t>resource_name</t>
  </si>
  <si>
    <t>type</t>
  </si>
  <si>
    <t>name</t>
  </si>
  <si>
    <t>description</t>
  </si>
  <si>
    <t>cidr_ipv4</t>
  </si>
  <si>
    <t>cidr_ipv6</t>
  </si>
  <si>
    <t>prefix_list_id</t>
  </si>
  <si>
    <t>referenced_security_group_id</t>
  </si>
  <si>
    <t>protocol</t>
  </si>
  <si>
    <t>from_port</t>
  </si>
  <si>
    <t>to_port</t>
  </si>
  <si>
    <t>policy_id</t>
  </si>
  <si>
    <t>sg</t>
  </si>
  <si>
    <t>ingress</t>
  </si>
  <si>
    <t>ads-rule-10001</t>
  </si>
  <si>
    <t>From ADS data. Allow from 10.222.130.87</t>
  </si>
  <si>
    <t>tcp</t>
  </si>
  <si>
    <t>ads-rule-10002</t>
  </si>
  <si>
    <t>ads-rule-10003</t>
  </si>
  <si>
    <t>From ADS data. Allow from 10.201.48.47</t>
  </si>
  <si>
    <t>ads-rule-10004</t>
  </si>
  <si>
    <t>ads-rule-10006</t>
  </si>
  <si>
    <t>From ADS data. Allow from 10.201.3.196</t>
  </si>
  <si>
    <t>ads-rule-10009</t>
  </si>
  <si>
    <t>ads-rule-10010</t>
  </si>
  <si>
    <t>From ADS data. Allow from 10.222.128.236</t>
  </si>
  <si>
    <t>ads-rule-10011</t>
  </si>
  <si>
    <t>From ADS data. Allow from 10.201.48.21</t>
  </si>
  <si>
    <t>ads-rule-10012</t>
  </si>
  <si>
    <t>ads-rule-10013</t>
  </si>
  <si>
    <t>From ADS data. Allow from 10.202.141.218</t>
  </si>
  <si>
    <t>ads-rule-10015</t>
  </si>
  <si>
    <t>From ADS data. Allow from 10.201.49.59</t>
  </si>
  <si>
    <t>ads-rule-10016</t>
  </si>
  <si>
    <t>ads-rule-10017</t>
  </si>
  <si>
    <t>From ADS data. Allow from 10.201.48.52</t>
  </si>
  <si>
    <t>ads-rule-10018</t>
  </si>
  <si>
    <t>From ADS data. Allow from 10.202.166.98</t>
  </si>
  <si>
    <t>ads-rule-10019</t>
  </si>
  <si>
    <t>From ADS data. Allow from 10.201.48.24</t>
  </si>
  <si>
    <t>ads-rule-10021</t>
  </si>
  <si>
    <t>ads-rule-10023</t>
  </si>
  <si>
    <t>From ADS data. Allow from 10.201.48.243</t>
  </si>
  <si>
    <t>ads-rule-10024</t>
  </si>
  <si>
    <t>ads-rule-10025</t>
  </si>
  <si>
    <t>From ADS data. Allow from 10.201.32.39</t>
  </si>
  <si>
    <t>ads-rule-10027</t>
  </si>
  <si>
    <t>From ADS data. Allow from 10.201.49.20</t>
  </si>
  <si>
    <t>ads-rule-10028</t>
  </si>
  <si>
    <t>get router info routing-table details</t>
  </si>
  <si>
    <t>10.222.130.87</t>
  </si>
  <si>
    <t>10.201.48.47</t>
  </si>
  <si>
    <t>10.201.3.196</t>
  </si>
  <si>
    <t>From ADS data. Allow ephemeral ports from 10.201.3.196</t>
  </si>
  <si>
    <t>10.222.128.236</t>
  </si>
  <si>
    <t>10.201.48.21</t>
  </si>
  <si>
    <t>10.202.141.218</t>
  </si>
  <si>
    <t>10.201.49.59</t>
  </si>
  <si>
    <t>10.201.48.52</t>
  </si>
  <si>
    <t>10.202.166.98</t>
  </si>
  <si>
    <t>10.201.48.24</t>
  </si>
  <si>
    <t>10.201.48.243</t>
  </si>
  <si>
    <t>10.201.32.39</t>
  </si>
  <si>
    <t>10.201.49.20</t>
  </si>
  <si>
    <t>E2-EH-AGN</t>
  </si>
  <si>
    <t>E2-EH-VDI-EXT</t>
  </si>
  <si>
    <t>E2-EH-ADMOPE-1</t>
  </si>
  <si>
    <t>E2-EH-PART</t>
  </si>
  <si>
    <t>diagnose firewall iprope lookup</t>
  </si>
  <si>
    <t>FR-E2-FW-EH-1-FNET $ diagnose firewall iprope lookup 10.222.130.87 3389 10.201.0.85 3389 tcp E2-EH-AGN</t>
  </si>
  <si>
    <t>&lt;src [10.222.130.87-3389] dst [10.201.0.85-3389] proto tcp dev E2-EH-AGN&gt; matches policy id: 4151</t>
  </si>
  <si>
    <t>FR-E2-FW-EH-1-FNET $ diagnose firewall iprope lookup 10.222.130.87 80 10.201.0.85 80 tcp E2-EH-AGN</t>
  </si>
  <si>
    <t>&lt;src [10.222.130.87-80] dst [10.201.0.85-80] proto tcp dev E2-EH-AGN&gt; matches policy id: 4151</t>
  </si>
  <si>
    <t>FR-E2-FW-EH-1-FNET $ diagnose firewall iprope lookup 10.201.48.47 80 10.201.0.85 80 tcp E2-EH-VDI-EXT</t>
  </si>
  <si>
    <t>&lt;src [10.201.48.47-80] dst [10.201.0.85-80] proto tcp dev E2-EH-VDI-EXT&gt; matches policy id: 685</t>
  </si>
  <si>
    <t>FR-E2-FW-EH-1-FNET $ diagnose firewall iprope lookup 10.201.48.47 3389 10.201.0.85 3389 tcp E2-EH-VDI-EXT</t>
  </si>
  <si>
    <t>&lt;src [10.201.48.47-3389] dst [10.201.0.85-3389] proto tcp dev E2-EH-VDI-EXT&gt; matches policy id: 685</t>
  </si>
  <si>
    <t>FR-E2-FW-EH-1-FNET $ diagnose firewall iprope lookup 10.201.3.196 135 10.201.0.85 135 tcp E2-EH-ADMOPE-1</t>
  </si>
  <si>
    <t>&lt;src [10.201.3.196-135] dst [10.201.0.85-135] proto tcp dev E2-EH-ADMOPE-1&gt; matches policy id: 683</t>
  </si>
  <si>
    <t>FR-E2-FW-EH-1-FNET $ diagnose firewall iprope lookup 10.201.3.196 49152 10.201.0.85 65535 tcp E2-EH-ADMOPE-1</t>
  </si>
  <si>
    <t>&lt;src [10.201.3.196-49152] dst [10.201.0.85-65535] proto tcp dev E2-EH-ADMOPE-1&gt; matches policy id: 683</t>
  </si>
  <si>
    <t>FR-E2-FW-EH-1-FNET $ diagnose firewall iprope lookup 10.222.128.236 80 10.201.0.85 80 tcp E2-EH-AGN</t>
  </si>
  <si>
    <t>&lt;src [10.222.128.236-80] dst [10.201.0.85-80] proto tcp dev E2-EH-AGN&gt; matches policy id: 4151</t>
  </si>
  <si>
    <t>FR-E2-FW-EH-1-FNET $ diagnose firewall iprope lookup 10.201.48.21 3389 10.201.0.85 3389 tcp E2-EH-VDI-EXT</t>
  </si>
  <si>
    <t>&lt;src [10.201.48.21-3389] dst [10.201.0.85-3389] proto tcp dev E2-EH-VDI-EXT&gt; matches policy id: 685</t>
  </si>
  <si>
    <t>FR-E2-FW-EH-1-FNET $ diagnose firewall iprope lookup 10.201.48.21 80 10.201.0.85 80 tcp E2-EH-VDI-EXT</t>
  </si>
  <si>
    <t>&lt;src [10.201.48.21-80] dst [10.201.0.85-80] proto tcp dev E2-EH-VDI-EXT&gt; matches policy id: 685</t>
  </si>
  <si>
    <t>FR-E2-FW-EH-1-FNET $ diagnose firewall iprope lookup 10.202.141.218 445 10.201.0.85 445 tcp E2-EH-AGN</t>
  </si>
  <si>
    <t>&lt;src [10.202.141.218-445] dst [10.201.0.85-445] proto tcp dev E2-EH-AGN&gt; matches policy id: 4151</t>
  </si>
  <si>
    <t>FR-E2-FW-EH-1-FNET $ diagnose firewall iprope lookup 10.201.49.59 3389 10.201.0.85 3389 tcp E2-EH-VDI-EXT</t>
  </si>
  <si>
    <t>&lt;src [10.201.49.59-3389] dst [10.201.0.85-3389] proto tcp dev E2-EH-VDI-EXT&gt; matches policy id: 685</t>
  </si>
  <si>
    <t>FR-E2-FW-EH-1-FNET $ diagnose firewall iprope lookup 10.201.49.59 80 10.201.0.85 80 tcp E2-EH-VDI-EXT</t>
  </si>
  <si>
    <t>&lt;src [10.201.49.59-80] dst [10.201.0.85-80] proto tcp dev E2-EH-VDI-EXT&gt; matches policy id: 685</t>
  </si>
  <si>
    <t>FR-E2-FW-EH-1-FNET $ diagnose firewall iprope lookup 10.201.48.52 3389 10.201.0.85 3389 tcp E2-EH-VDI-EXT</t>
  </si>
  <si>
    <t>&lt;src [10.201.48.52-3389] dst [10.201.0.85-3389] proto tcp dev E2-EH-VDI-EXT&gt; matches policy id: 685</t>
  </si>
  <si>
    <t>FR-E2-FW-EH-1-FNET $ diagnose firewall iprope lookup 10.202.166.98 3389 10.201.0.85 3389 tcp E2-EH-AGN</t>
  </si>
  <si>
    <t>&lt;src [10.202.166.98-3389] dst [10.201.0.85-3389] proto tcp dev E2-EH-AGN&gt; matches policy id: 4151</t>
  </si>
  <si>
    <t>FR-E2-FW-EH-1-FNET $ diagnose firewall iprope lookup 10.201.48.24 3389 10.201.0.85 3389 tcp E2-EH-VDI-EXT</t>
  </si>
  <si>
    <t>&lt;src [10.201.48.24-3389] dst [10.201.0.85-3389] proto tcp dev E2-EH-VDI-EXT&gt; matches policy id: 685</t>
  </si>
  <si>
    <t>FR-E2-FW-EH-1-FNET $ diagnose firewall iprope lookup 10.201.48.24 80 10.201.0.85 80 tcp E2-EH-VDI-EXT</t>
  </si>
  <si>
    <t>&lt;src [10.201.48.24-80] dst [10.201.0.85-80] proto tcp dev E2-EH-VDI-EXT&gt; matches policy id: 685</t>
  </si>
  <si>
    <t>FR-E2-FW-EH-1-FNET $ diagnose firewall iprope lookup 10.201.48.243 3389 10.201.0.85 3389 tcp E2-EH-VDI-EXT</t>
  </si>
  <si>
    <t>&lt;src [10.201.48.243-3389] dst [10.201.0.85-3389] proto tcp dev E2-EH-VDI-EXT&gt; matches policy id: 685</t>
  </si>
  <si>
    <t>FR-E2-FW-EH-1-FNET $ diagnose firewall iprope lookup 10.201.48.243 80 10.201.0.85 80 tcp E2-EH-VDI-EXT</t>
  </si>
  <si>
    <t>&lt;src [10.201.48.243-80] dst [10.201.0.85-80] proto tcp dev E2-EH-VDI-EXT&gt; matches policy id: 685</t>
  </si>
  <si>
    <t>FR-E2-FW-EH-1-FNET $ diagnose firewall iprope lookup 10.201.32.39 80 10.201.0.85 80 tcp E2-EH-PART</t>
  </si>
  <si>
    <t>&lt;src [10.201.32.39-80] dst [10.201.0.85-80] proto tcp dev E2-EH-PART&gt; matches policy id: 7644</t>
  </si>
  <si>
    <t>FR-E2-FW-EH-1-FNET $ diagnose firewall iprope lookup 10.201.49.20 80 10.201.0.85 80 tcp E2-EH-VDI-EXT</t>
  </si>
  <si>
    <t>&lt;src [10.201.49.20-80] dst [10.201.0.85-80] proto tcp dev E2-EH-VDI-EXT&gt; matches policy id: 685</t>
  </si>
  <si>
    <t>FR-E2-FW-EH-1-FNET $ diagnose firewall iprope lookup 10.201.49.20 3389 10.201.0.85 3389 tcp E2-EH-VDI-EXT</t>
  </si>
  <si>
    <t>&lt;src [10.201.49.20-3389] dst [10.201.0.85-3389] proto tcp dev E2-EH-VDI-EXT&gt; matches policy id: 685</t>
  </si>
  <si>
    <t>FR-E2-FW-EH-1-FNET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</si>
</sst>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1D1E3-455A-44E4-B014-09B3831F77A4}">
  <dimension ref="A1:R22"/>
  <sheetViews>
    <sheetView topLeftCell="K1" zoomScale="70" zoomScaleNormal="70" workbookViewId="0">
      <selection activeCell="R2" sqref="R2:R22"/>
    </sheetView>
  </sheetViews>
  <sheetFormatPr defaultRowHeight="14" x14ac:dyDescent="0.3"/>
  <cols>
    <col min="1" max="1" width="13.25" bestFit="1" customWidth="1"/>
    <col min="2" max="2" width="6.5" bestFit="1" customWidth="1"/>
    <col min="3" max="3" width="12.6640625" bestFit="1" customWidth="1"/>
    <col min="4" max="4" width="50.58203125" bestFit="1" customWidth="1"/>
    <col min="5" max="5" width="15.83203125" bestFit="1" customWidth="1"/>
    <col min="6" max="6" width="8" bestFit="1" customWidth="1"/>
    <col min="7" max="7" width="10.75" bestFit="1" customWidth="1"/>
    <col min="8" max="8" width="24.75" bestFit="1" customWidth="1"/>
    <col min="9" max="9" width="7.33203125" bestFit="1" customWidth="1"/>
    <col min="11" max="11" width="6.5" bestFit="1" customWidth="1"/>
    <col min="12" max="12" width="7.83203125" bestFit="1" customWidth="1"/>
    <col min="14" max="14" width="28.83203125" bestFit="1" customWidth="1"/>
    <col min="15" max="15" width="49.75" bestFit="1" customWidth="1"/>
    <col min="16" max="16" width="16.5" bestFit="1" customWidth="1"/>
    <col min="17" max="17" width="25.75" bestFit="1" customWidth="1"/>
    <col min="18" max="18" width="71.08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8" x14ac:dyDescent="0.3">
      <c r="A2" t="s">
        <v>12</v>
      </c>
      <c r="B2" t="s">
        <v>13</v>
      </c>
      <c r="C2" t="s">
        <v>14</v>
      </c>
      <c r="D2" t="s">
        <v>15</v>
      </c>
      <c r="E2" t="s">
        <v>50</v>
      </c>
      <c r="I2" t="s">
        <v>16</v>
      </c>
      <c r="J2">
        <v>3389</v>
      </c>
      <c r="K2">
        <v>3389</v>
      </c>
      <c r="M2" t="s">
        <v>49</v>
      </c>
      <c r="O2" t="str">
        <f>_xlfn.CONCAT(M2," ",E2, " | grep -f *")</f>
        <v>get router info routing-table details 10.222.130.87 | grep -f *</v>
      </c>
      <c r="P2" t="s">
        <v>64</v>
      </c>
      <c r="Q2" t="s">
        <v>68</v>
      </c>
      <c r="R2" t="str">
        <f>_xlfn.CONCAT(Q2," ", E2, " ",J2," 10.201.0.85 ",K2," tcp ",P2 )</f>
        <v>diagnose firewall iprope lookup 10.222.130.87 3389 10.201.0.85 3389 tcp E2-EH-AGN</v>
      </c>
    </row>
    <row r="3" spans="1:18" x14ac:dyDescent="0.3">
      <c r="A3" t="s">
        <v>12</v>
      </c>
      <c r="B3" t="s">
        <v>13</v>
      </c>
      <c r="C3" t="s">
        <v>17</v>
      </c>
      <c r="D3" t="s">
        <v>15</v>
      </c>
      <c r="E3" t="s">
        <v>50</v>
      </c>
      <c r="I3" t="s">
        <v>16</v>
      </c>
      <c r="J3">
        <v>80</v>
      </c>
      <c r="K3">
        <v>80</v>
      </c>
      <c r="M3" t="s">
        <v>49</v>
      </c>
      <c r="O3" t="str">
        <f t="shared" ref="O3:O22" si="0">_xlfn.CONCAT(M3," ",E3, " | grep -f *")</f>
        <v>get router info routing-table details 10.222.130.87 | grep -f *</v>
      </c>
      <c r="P3" t="s">
        <v>64</v>
      </c>
      <c r="Q3" t="s">
        <v>68</v>
      </c>
      <c r="R3" t="str">
        <f t="shared" ref="R3:R22" si="1">_xlfn.CONCAT(Q3," ", E3, " ",J3," 10.201.0.85 ",K3," tcp ",P3 )</f>
        <v>diagnose firewall iprope lookup 10.222.130.87 80 10.201.0.85 80 tcp E2-EH-AGN</v>
      </c>
    </row>
    <row r="4" spans="1:18" x14ac:dyDescent="0.3">
      <c r="A4" t="s">
        <v>12</v>
      </c>
      <c r="B4" t="s">
        <v>13</v>
      </c>
      <c r="C4" t="s">
        <v>18</v>
      </c>
      <c r="D4" t="s">
        <v>19</v>
      </c>
      <c r="E4" t="s">
        <v>51</v>
      </c>
      <c r="I4" t="s">
        <v>16</v>
      </c>
      <c r="J4">
        <v>80</v>
      </c>
      <c r="K4">
        <v>80</v>
      </c>
      <c r="M4" t="s">
        <v>49</v>
      </c>
      <c r="O4" t="str">
        <f t="shared" si="0"/>
        <v>get router info routing-table details 10.201.48.47 | grep -f *</v>
      </c>
      <c r="P4" t="s">
        <v>65</v>
      </c>
      <c r="Q4" t="s">
        <v>68</v>
      </c>
      <c r="R4" t="str">
        <f t="shared" si="1"/>
        <v>diagnose firewall iprope lookup 10.201.48.47 80 10.201.0.85 80 tcp E2-EH-VDI-EXT</v>
      </c>
    </row>
    <row r="5" spans="1:18" x14ac:dyDescent="0.3">
      <c r="A5" t="s">
        <v>12</v>
      </c>
      <c r="B5" t="s">
        <v>13</v>
      </c>
      <c r="C5" t="s">
        <v>20</v>
      </c>
      <c r="D5" t="s">
        <v>19</v>
      </c>
      <c r="E5" t="s">
        <v>51</v>
      </c>
      <c r="I5" t="s">
        <v>16</v>
      </c>
      <c r="J5">
        <v>3389</v>
      </c>
      <c r="K5">
        <v>3389</v>
      </c>
      <c r="M5" t="s">
        <v>49</v>
      </c>
      <c r="O5" t="str">
        <f t="shared" si="0"/>
        <v>get router info routing-table details 10.201.48.47 | grep -f *</v>
      </c>
      <c r="P5" t="s">
        <v>65</v>
      </c>
      <c r="Q5" t="s">
        <v>68</v>
      </c>
      <c r="R5" t="str">
        <f t="shared" si="1"/>
        <v>diagnose firewall iprope lookup 10.201.48.47 3389 10.201.0.85 3389 tcp E2-EH-VDI-EXT</v>
      </c>
    </row>
    <row r="6" spans="1:18" x14ac:dyDescent="0.3">
      <c r="A6" t="s">
        <v>12</v>
      </c>
      <c r="B6" t="s">
        <v>13</v>
      </c>
      <c r="C6" t="s">
        <v>21</v>
      </c>
      <c r="D6" t="s">
        <v>22</v>
      </c>
      <c r="E6" t="s">
        <v>52</v>
      </c>
      <c r="I6" t="s">
        <v>16</v>
      </c>
      <c r="J6">
        <v>135</v>
      </c>
      <c r="K6">
        <v>135</v>
      </c>
      <c r="M6" t="s">
        <v>49</v>
      </c>
      <c r="O6" t="str">
        <f t="shared" si="0"/>
        <v>get router info routing-table details 10.201.3.196 | grep -f *</v>
      </c>
      <c r="P6" t="s">
        <v>66</v>
      </c>
      <c r="Q6" t="s">
        <v>68</v>
      </c>
      <c r="R6" t="str">
        <f t="shared" si="1"/>
        <v>diagnose firewall iprope lookup 10.201.3.196 135 10.201.0.85 135 tcp E2-EH-ADMOPE-1</v>
      </c>
    </row>
    <row r="7" spans="1:18" x14ac:dyDescent="0.3">
      <c r="A7" t="s">
        <v>12</v>
      </c>
      <c r="B7" t="s">
        <v>13</v>
      </c>
      <c r="C7" t="s">
        <v>23</v>
      </c>
      <c r="D7" t="s">
        <v>53</v>
      </c>
      <c r="E7" t="s">
        <v>52</v>
      </c>
      <c r="I7" t="s">
        <v>16</v>
      </c>
      <c r="J7">
        <v>49152</v>
      </c>
      <c r="K7">
        <v>65535</v>
      </c>
      <c r="M7" t="s">
        <v>49</v>
      </c>
      <c r="O7" t="str">
        <f t="shared" si="0"/>
        <v>get router info routing-table details 10.201.3.196 | grep -f *</v>
      </c>
      <c r="P7" t="s">
        <v>66</v>
      </c>
      <c r="Q7" t="s">
        <v>68</v>
      </c>
      <c r="R7" t="str">
        <f t="shared" si="1"/>
        <v>diagnose firewall iprope lookup 10.201.3.196 49152 10.201.0.85 65535 tcp E2-EH-ADMOPE-1</v>
      </c>
    </row>
    <row r="8" spans="1:18" x14ac:dyDescent="0.3">
      <c r="A8" t="s">
        <v>12</v>
      </c>
      <c r="B8" t="s">
        <v>13</v>
      </c>
      <c r="C8" t="s">
        <v>24</v>
      </c>
      <c r="D8" t="s">
        <v>25</v>
      </c>
      <c r="E8" t="s">
        <v>54</v>
      </c>
      <c r="I8" t="s">
        <v>16</v>
      </c>
      <c r="J8">
        <v>80</v>
      </c>
      <c r="K8">
        <v>80</v>
      </c>
      <c r="M8" t="s">
        <v>49</v>
      </c>
      <c r="O8" t="str">
        <f t="shared" si="0"/>
        <v>get router info routing-table details 10.222.128.236 | grep -f *</v>
      </c>
      <c r="P8" t="s">
        <v>64</v>
      </c>
      <c r="Q8" t="s">
        <v>68</v>
      </c>
      <c r="R8" t="str">
        <f t="shared" si="1"/>
        <v>diagnose firewall iprope lookup 10.222.128.236 80 10.201.0.85 80 tcp E2-EH-AGN</v>
      </c>
    </row>
    <row r="9" spans="1:18" x14ac:dyDescent="0.3">
      <c r="A9" t="s">
        <v>12</v>
      </c>
      <c r="B9" t="s">
        <v>13</v>
      </c>
      <c r="C9" t="s">
        <v>26</v>
      </c>
      <c r="D9" t="s">
        <v>27</v>
      </c>
      <c r="E9" t="s">
        <v>55</v>
      </c>
      <c r="I9" t="s">
        <v>16</v>
      </c>
      <c r="J9">
        <v>3389</v>
      </c>
      <c r="K9">
        <v>3389</v>
      </c>
      <c r="M9" t="s">
        <v>49</v>
      </c>
      <c r="O9" t="str">
        <f t="shared" si="0"/>
        <v>get router info routing-table details 10.201.48.21 | grep -f *</v>
      </c>
      <c r="P9" t="s">
        <v>65</v>
      </c>
      <c r="Q9" t="s">
        <v>68</v>
      </c>
      <c r="R9" t="str">
        <f t="shared" si="1"/>
        <v>diagnose firewall iprope lookup 10.201.48.21 3389 10.201.0.85 3389 tcp E2-EH-VDI-EXT</v>
      </c>
    </row>
    <row r="10" spans="1:18" x14ac:dyDescent="0.3">
      <c r="A10" t="s">
        <v>12</v>
      </c>
      <c r="B10" t="s">
        <v>13</v>
      </c>
      <c r="C10" t="s">
        <v>28</v>
      </c>
      <c r="D10" t="s">
        <v>27</v>
      </c>
      <c r="E10" t="s">
        <v>55</v>
      </c>
      <c r="I10" t="s">
        <v>16</v>
      </c>
      <c r="J10">
        <v>80</v>
      </c>
      <c r="K10">
        <v>80</v>
      </c>
      <c r="M10" t="s">
        <v>49</v>
      </c>
      <c r="O10" t="str">
        <f t="shared" si="0"/>
        <v>get router info routing-table details 10.201.48.21 | grep -f *</v>
      </c>
      <c r="P10" t="s">
        <v>65</v>
      </c>
      <c r="Q10" t="s">
        <v>68</v>
      </c>
      <c r="R10" t="str">
        <f t="shared" si="1"/>
        <v>diagnose firewall iprope lookup 10.201.48.21 80 10.201.0.85 80 tcp E2-EH-VDI-EXT</v>
      </c>
    </row>
    <row r="11" spans="1:18" x14ac:dyDescent="0.3">
      <c r="A11" t="s">
        <v>12</v>
      </c>
      <c r="B11" t="s">
        <v>13</v>
      </c>
      <c r="C11" t="s">
        <v>29</v>
      </c>
      <c r="D11" t="s">
        <v>30</v>
      </c>
      <c r="E11" t="s">
        <v>56</v>
      </c>
      <c r="I11" t="s">
        <v>16</v>
      </c>
      <c r="J11">
        <v>445</v>
      </c>
      <c r="K11">
        <v>445</v>
      </c>
      <c r="M11" t="s">
        <v>49</v>
      </c>
      <c r="O11" t="str">
        <f t="shared" si="0"/>
        <v>get router info routing-table details 10.202.141.218 | grep -f *</v>
      </c>
      <c r="P11" t="s">
        <v>64</v>
      </c>
      <c r="Q11" t="s">
        <v>68</v>
      </c>
      <c r="R11" t="str">
        <f t="shared" si="1"/>
        <v>diagnose firewall iprope lookup 10.202.141.218 445 10.201.0.85 445 tcp E2-EH-AGN</v>
      </c>
    </row>
    <row r="12" spans="1:18" x14ac:dyDescent="0.3">
      <c r="A12" t="s">
        <v>12</v>
      </c>
      <c r="B12" t="s">
        <v>13</v>
      </c>
      <c r="C12" t="s">
        <v>31</v>
      </c>
      <c r="D12" t="s">
        <v>32</v>
      </c>
      <c r="E12" t="s">
        <v>57</v>
      </c>
      <c r="I12" t="s">
        <v>16</v>
      </c>
      <c r="J12">
        <v>3389</v>
      </c>
      <c r="K12">
        <v>3389</v>
      </c>
      <c r="M12" t="s">
        <v>49</v>
      </c>
      <c r="O12" t="str">
        <f t="shared" si="0"/>
        <v>get router info routing-table details 10.201.49.59 | grep -f *</v>
      </c>
      <c r="P12" t="s">
        <v>65</v>
      </c>
      <c r="Q12" t="s">
        <v>68</v>
      </c>
      <c r="R12" t="str">
        <f t="shared" si="1"/>
        <v>diagnose firewall iprope lookup 10.201.49.59 3389 10.201.0.85 3389 tcp E2-EH-VDI-EXT</v>
      </c>
    </row>
    <row r="13" spans="1:18" x14ac:dyDescent="0.3">
      <c r="A13" t="s">
        <v>12</v>
      </c>
      <c r="B13" t="s">
        <v>13</v>
      </c>
      <c r="C13" t="s">
        <v>33</v>
      </c>
      <c r="D13" t="s">
        <v>32</v>
      </c>
      <c r="E13" t="s">
        <v>57</v>
      </c>
      <c r="I13" t="s">
        <v>16</v>
      </c>
      <c r="J13">
        <v>80</v>
      </c>
      <c r="K13">
        <v>80</v>
      </c>
      <c r="M13" t="s">
        <v>49</v>
      </c>
      <c r="O13" t="str">
        <f t="shared" si="0"/>
        <v>get router info routing-table details 10.201.49.59 | grep -f *</v>
      </c>
      <c r="P13" t="s">
        <v>65</v>
      </c>
      <c r="Q13" t="s">
        <v>68</v>
      </c>
      <c r="R13" t="str">
        <f t="shared" si="1"/>
        <v>diagnose firewall iprope lookup 10.201.49.59 80 10.201.0.85 80 tcp E2-EH-VDI-EXT</v>
      </c>
    </row>
    <row r="14" spans="1:18" x14ac:dyDescent="0.3">
      <c r="A14" t="s">
        <v>12</v>
      </c>
      <c r="B14" t="s">
        <v>13</v>
      </c>
      <c r="C14" t="s">
        <v>34</v>
      </c>
      <c r="D14" t="s">
        <v>35</v>
      </c>
      <c r="E14" t="s">
        <v>58</v>
      </c>
      <c r="I14" t="s">
        <v>16</v>
      </c>
      <c r="J14">
        <v>3389</v>
      </c>
      <c r="K14">
        <v>3389</v>
      </c>
      <c r="M14" t="s">
        <v>49</v>
      </c>
      <c r="O14" t="str">
        <f t="shared" si="0"/>
        <v>get router info routing-table details 10.201.48.52 | grep -f *</v>
      </c>
      <c r="P14" t="s">
        <v>65</v>
      </c>
      <c r="Q14" t="s">
        <v>68</v>
      </c>
      <c r="R14" t="str">
        <f t="shared" si="1"/>
        <v>diagnose firewall iprope lookup 10.201.48.52 3389 10.201.0.85 3389 tcp E2-EH-VDI-EXT</v>
      </c>
    </row>
    <row r="15" spans="1:18" x14ac:dyDescent="0.3">
      <c r="A15" t="s">
        <v>12</v>
      </c>
      <c r="B15" t="s">
        <v>13</v>
      </c>
      <c r="C15" t="s">
        <v>36</v>
      </c>
      <c r="D15" t="s">
        <v>37</v>
      </c>
      <c r="E15" t="s">
        <v>59</v>
      </c>
      <c r="I15" t="s">
        <v>16</v>
      </c>
      <c r="J15">
        <v>3389</v>
      </c>
      <c r="K15">
        <v>3389</v>
      </c>
      <c r="M15" t="s">
        <v>49</v>
      </c>
      <c r="O15" t="str">
        <f t="shared" si="0"/>
        <v>get router info routing-table details 10.202.166.98 | grep -f *</v>
      </c>
      <c r="P15" t="s">
        <v>64</v>
      </c>
      <c r="Q15" t="s">
        <v>68</v>
      </c>
      <c r="R15" t="str">
        <f t="shared" si="1"/>
        <v>diagnose firewall iprope lookup 10.202.166.98 3389 10.201.0.85 3389 tcp E2-EH-AGN</v>
      </c>
    </row>
    <row r="16" spans="1:18" x14ac:dyDescent="0.3">
      <c r="A16" t="s">
        <v>12</v>
      </c>
      <c r="B16" t="s">
        <v>13</v>
      </c>
      <c r="C16" t="s">
        <v>38</v>
      </c>
      <c r="D16" t="s">
        <v>39</v>
      </c>
      <c r="E16" t="s">
        <v>60</v>
      </c>
      <c r="I16" t="s">
        <v>16</v>
      </c>
      <c r="J16">
        <v>3389</v>
      </c>
      <c r="K16">
        <v>3389</v>
      </c>
      <c r="M16" t="s">
        <v>49</v>
      </c>
      <c r="O16" t="str">
        <f t="shared" si="0"/>
        <v>get router info routing-table details 10.201.48.24 | grep -f *</v>
      </c>
      <c r="P16" t="s">
        <v>65</v>
      </c>
      <c r="Q16" t="s">
        <v>68</v>
      </c>
      <c r="R16" t="str">
        <f t="shared" si="1"/>
        <v>diagnose firewall iprope lookup 10.201.48.24 3389 10.201.0.85 3389 tcp E2-EH-VDI-EXT</v>
      </c>
    </row>
    <row r="17" spans="1:18" x14ac:dyDescent="0.3">
      <c r="A17" t="s">
        <v>12</v>
      </c>
      <c r="B17" t="s">
        <v>13</v>
      </c>
      <c r="C17" t="s">
        <v>40</v>
      </c>
      <c r="D17" t="s">
        <v>39</v>
      </c>
      <c r="E17" t="s">
        <v>60</v>
      </c>
      <c r="I17" t="s">
        <v>16</v>
      </c>
      <c r="J17">
        <v>80</v>
      </c>
      <c r="K17">
        <v>80</v>
      </c>
      <c r="M17" t="s">
        <v>49</v>
      </c>
      <c r="O17" t="str">
        <f t="shared" si="0"/>
        <v>get router info routing-table details 10.201.48.24 | grep -f *</v>
      </c>
      <c r="P17" t="s">
        <v>65</v>
      </c>
      <c r="Q17" t="s">
        <v>68</v>
      </c>
      <c r="R17" t="str">
        <f t="shared" si="1"/>
        <v>diagnose firewall iprope lookup 10.201.48.24 80 10.201.0.85 80 tcp E2-EH-VDI-EXT</v>
      </c>
    </row>
    <row r="18" spans="1:18" x14ac:dyDescent="0.3">
      <c r="A18" t="s">
        <v>12</v>
      </c>
      <c r="B18" t="s">
        <v>13</v>
      </c>
      <c r="C18" t="s">
        <v>41</v>
      </c>
      <c r="D18" t="s">
        <v>42</v>
      </c>
      <c r="E18" t="s">
        <v>61</v>
      </c>
      <c r="I18" t="s">
        <v>16</v>
      </c>
      <c r="J18">
        <v>3389</v>
      </c>
      <c r="K18">
        <v>3389</v>
      </c>
      <c r="M18" t="s">
        <v>49</v>
      </c>
      <c r="O18" t="str">
        <f t="shared" si="0"/>
        <v>get router info routing-table details 10.201.48.243 | grep -f *</v>
      </c>
      <c r="P18" t="s">
        <v>65</v>
      </c>
      <c r="Q18" t="s">
        <v>68</v>
      </c>
      <c r="R18" t="str">
        <f t="shared" si="1"/>
        <v>diagnose firewall iprope lookup 10.201.48.243 3389 10.201.0.85 3389 tcp E2-EH-VDI-EXT</v>
      </c>
    </row>
    <row r="19" spans="1:18" x14ac:dyDescent="0.3">
      <c r="A19" t="s">
        <v>12</v>
      </c>
      <c r="B19" t="s">
        <v>13</v>
      </c>
      <c r="C19" t="s">
        <v>43</v>
      </c>
      <c r="D19" t="s">
        <v>42</v>
      </c>
      <c r="E19" t="s">
        <v>61</v>
      </c>
      <c r="I19" t="s">
        <v>16</v>
      </c>
      <c r="J19">
        <v>80</v>
      </c>
      <c r="K19">
        <v>80</v>
      </c>
      <c r="M19" t="s">
        <v>49</v>
      </c>
      <c r="O19" t="str">
        <f t="shared" si="0"/>
        <v>get router info routing-table details 10.201.48.243 | grep -f *</v>
      </c>
      <c r="P19" t="s">
        <v>65</v>
      </c>
      <c r="Q19" t="s">
        <v>68</v>
      </c>
      <c r="R19" t="str">
        <f t="shared" si="1"/>
        <v>diagnose firewall iprope lookup 10.201.48.243 80 10.201.0.85 80 tcp E2-EH-VDI-EXT</v>
      </c>
    </row>
    <row r="20" spans="1:18" x14ac:dyDescent="0.3">
      <c r="A20" t="s">
        <v>12</v>
      </c>
      <c r="B20" t="s">
        <v>13</v>
      </c>
      <c r="C20" t="s">
        <v>44</v>
      </c>
      <c r="D20" t="s">
        <v>45</v>
      </c>
      <c r="E20" t="s">
        <v>62</v>
      </c>
      <c r="I20" t="s">
        <v>16</v>
      </c>
      <c r="J20">
        <v>80</v>
      </c>
      <c r="K20">
        <v>80</v>
      </c>
      <c r="M20" t="s">
        <v>49</v>
      </c>
      <c r="O20" t="str">
        <f t="shared" si="0"/>
        <v>get router info routing-table details 10.201.32.39 | grep -f *</v>
      </c>
      <c r="P20" t="s">
        <v>67</v>
      </c>
      <c r="Q20" t="s">
        <v>68</v>
      </c>
      <c r="R20" t="str">
        <f t="shared" si="1"/>
        <v>diagnose firewall iprope lookup 10.201.32.39 80 10.201.0.85 80 tcp E2-EH-PART</v>
      </c>
    </row>
    <row r="21" spans="1:18" x14ac:dyDescent="0.3">
      <c r="A21" t="s">
        <v>12</v>
      </c>
      <c r="B21" t="s">
        <v>13</v>
      </c>
      <c r="C21" t="s">
        <v>46</v>
      </c>
      <c r="D21" t="s">
        <v>47</v>
      </c>
      <c r="E21" t="s">
        <v>63</v>
      </c>
      <c r="I21" t="s">
        <v>16</v>
      </c>
      <c r="J21">
        <v>80</v>
      </c>
      <c r="K21">
        <v>80</v>
      </c>
      <c r="M21" t="s">
        <v>49</v>
      </c>
      <c r="O21" t="str">
        <f t="shared" si="0"/>
        <v>get router info routing-table details 10.201.49.20 | grep -f *</v>
      </c>
      <c r="P21" t="s">
        <v>65</v>
      </c>
      <c r="Q21" t="s">
        <v>68</v>
      </c>
      <c r="R21" t="str">
        <f t="shared" si="1"/>
        <v>diagnose firewall iprope lookup 10.201.49.20 80 10.201.0.85 80 tcp E2-EH-VDI-EXT</v>
      </c>
    </row>
    <row r="22" spans="1:18" x14ac:dyDescent="0.3">
      <c r="A22" t="s">
        <v>12</v>
      </c>
      <c r="B22" t="s">
        <v>13</v>
      </c>
      <c r="C22" t="s">
        <v>48</v>
      </c>
      <c r="D22" t="s">
        <v>47</v>
      </c>
      <c r="E22" t="s">
        <v>63</v>
      </c>
      <c r="I22" t="s">
        <v>16</v>
      </c>
      <c r="J22">
        <v>3389</v>
      </c>
      <c r="K22">
        <v>3389</v>
      </c>
      <c r="M22" t="s">
        <v>49</v>
      </c>
      <c r="O22" t="str">
        <f t="shared" si="0"/>
        <v>get router info routing-table details 10.201.49.20 | grep -f *</v>
      </c>
      <c r="P22" t="s">
        <v>65</v>
      </c>
      <c r="Q22" t="s">
        <v>68</v>
      </c>
      <c r="R22" t="str">
        <f t="shared" si="1"/>
        <v>diagnose firewall iprope lookup 10.201.49.20 3389 10.201.0.85 3389 tcp E2-EH-VDI-EXT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A052-17A1-4616-917F-30F8BC291944}">
  <dimension ref="A1:A64"/>
  <sheetViews>
    <sheetView tabSelected="1" topLeftCell="A52" workbookViewId="0">
      <selection sqref="A1:A64"/>
    </sheetView>
  </sheetViews>
  <sheetFormatPr defaultRowHeight="14" x14ac:dyDescent="0.3"/>
  <sheetData>
    <row r="1" spans="1:1" x14ac:dyDescent="0.3">
      <c r="A1" t="s">
        <v>69</v>
      </c>
    </row>
    <row r="2" spans="1:1" x14ac:dyDescent="0.3">
      <c r="A2" t="s">
        <v>70</v>
      </c>
    </row>
    <row r="4" spans="1:1" x14ac:dyDescent="0.3">
      <c r="A4" t="s">
        <v>71</v>
      </c>
    </row>
    <row r="5" spans="1:1" x14ac:dyDescent="0.3">
      <c r="A5" t="s">
        <v>72</v>
      </c>
    </row>
    <row r="7" spans="1:1" x14ac:dyDescent="0.3">
      <c r="A7" t="s">
        <v>73</v>
      </c>
    </row>
    <row r="8" spans="1:1" x14ac:dyDescent="0.3">
      <c r="A8" t="s">
        <v>74</v>
      </c>
    </row>
    <row r="10" spans="1:1" x14ac:dyDescent="0.3">
      <c r="A10" t="s">
        <v>75</v>
      </c>
    </row>
    <row r="11" spans="1:1" x14ac:dyDescent="0.3">
      <c r="A11" t="s">
        <v>76</v>
      </c>
    </row>
    <row r="13" spans="1:1" x14ac:dyDescent="0.3">
      <c r="A13" t="s">
        <v>77</v>
      </c>
    </row>
    <row r="14" spans="1:1" x14ac:dyDescent="0.3">
      <c r="A14" t="s">
        <v>78</v>
      </c>
    </row>
    <row r="16" spans="1:1" x14ac:dyDescent="0.3">
      <c r="A16" t="s">
        <v>79</v>
      </c>
    </row>
    <row r="17" spans="1:1" x14ac:dyDescent="0.3">
      <c r="A17" t="s">
        <v>80</v>
      </c>
    </row>
    <row r="19" spans="1:1" x14ac:dyDescent="0.3">
      <c r="A19" t="s">
        <v>81</v>
      </c>
    </row>
    <row r="20" spans="1:1" x14ac:dyDescent="0.3">
      <c r="A20" t="s">
        <v>82</v>
      </c>
    </row>
    <row r="22" spans="1:1" x14ac:dyDescent="0.3">
      <c r="A22" t="s">
        <v>83</v>
      </c>
    </row>
    <row r="23" spans="1:1" x14ac:dyDescent="0.3">
      <c r="A23" t="s">
        <v>84</v>
      </c>
    </row>
    <row r="25" spans="1:1" x14ac:dyDescent="0.3">
      <c r="A25" t="s">
        <v>85</v>
      </c>
    </row>
    <row r="26" spans="1:1" x14ac:dyDescent="0.3">
      <c r="A26" t="s">
        <v>86</v>
      </c>
    </row>
    <row r="28" spans="1:1" x14ac:dyDescent="0.3">
      <c r="A28" t="s">
        <v>87</v>
      </c>
    </row>
    <row r="29" spans="1:1" x14ac:dyDescent="0.3">
      <c r="A29" t="s">
        <v>88</v>
      </c>
    </row>
    <row r="31" spans="1:1" x14ac:dyDescent="0.3">
      <c r="A31" t="s">
        <v>89</v>
      </c>
    </row>
    <row r="32" spans="1:1" x14ac:dyDescent="0.3">
      <c r="A32" t="s">
        <v>90</v>
      </c>
    </row>
    <row r="34" spans="1:1" x14ac:dyDescent="0.3">
      <c r="A34" t="s">
        <v>91</v>
      </c>
    </row>
    <row r="35" spans="1:1" x14ac:dyDescent="0.3">
      <c r="A35" t="s">
        <v>92</v>
      </c>
    </row>
    <row r="37" spans="1:1" x14ac:dyDescent="0.3">
      <c r="A37" t="s">
        <v>93</v>
      </c>
    </row>
    <row r="38" spans="1:1" x14ac:dyDescent="0.3">
      <c r="A38" t="s">
        <v>94</v>
      </c>
    </row>
    <row r="40" spans="1:1" x14ac:dyDescent="0.3">
      <c r="A40" t="s">
        <v>95</v>
      </c>
    </row>
    <row r="41" spans="1:1" x14ac:dyDescent="0.3">
      <c r="A41" t="s">
        <v>96</v>
      </c>
    </row>
    <row r="43" spans="1:1" x14ac:dyDescent="0.3">
      <c r="A43" t="s">
        <v>97</v>
      </c>
    </row>
    <row r="44" spans="1:1" x14ac:dyDescent="0.3">
      <c r="A44" t="s">
        <v>98</v>
      </c>
    </row>
    <row r="46" spans="1:1" x14ac:dyDescent="0.3">
      <c r="A46" t="s">
        <v>99</v>
      </c>
    </row>
    <row r="47" spans="1:1" x14ac:dyDescent="0.3">
      <c r="A47" t="s">
        <v>100</v>
      </c>
    </row>
    <row r="49" spans="1:1" x14ac:dyDescent="0.3">
      <c r="A49" t="s">
        <v>101</v>
      </c>
    </row>
    <row r="50" spans="1:1" x14ac:dyDescent="0.3">
      <c r="A50" t="s">
        <v>102</v>
      </c>
    </row>
    <row r="52" spans="1:1" x14ac:dyDescent="0.3">
      <c r="A52" t="s">
        <v>103</v>
      </c>
    </row>
    <row r="53" spans="1:1" x14ac:dyDescent="0.3">
      <c r="A53" t="s">
        <v>104</v>
      </c>
    </row>
    <row r="55" spans="1:1" x14ac:dyDescent="0.3">
      <c r="A55" t="s">
        <v>105</v>
      </c>
    </row>
    <row r="56" spans="1:1" x14ac:dyDescent="0.3">
      <c r="A56" t="s">
        <v>106</v>
      </c>
    </row>
    <row r="58" spans="1:1" x14ac:dyDescent="0.3">
      <c r="A58" t="s">
        <v>107</v>
      </c>
    </row>
    <row r="59" spans="1:1" x14ac:dyDescent="0.3">
      <c r="A59" t="s">
        <v>108</v>
      </c>
    </row>
    <row r="61" spans="1:1" x14ac:dyDescent="0.3">
      <c r="A61" t="s">
        <v>109</v>
      </c>
    </row>
    <row r="62" spans="1:1" x14ac:dyDescent="0.3">
      <c r="A62" t="s">
        <v>110</v>
      </c>
    </row>
    <row r="64" spans="1:1" x14ac:dyDescent="0.3">
      <c r="A64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10.201.0.85_ads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DUTTA, Swapnendu (EH:GROUP)</dc:creator>
  <cp:lastModifiedBy>Dutta, Swapnendu (Allianz Trade, external)</cp:lastModifiedBy>
  <dcterms:created xsi:type="dcterms:W3CDTF">2025-12-15T13:23:26Z</dcterms:created>
  <dcterms:modified xsi:type="dcterms:W3CDTF">2025-12-15T14:37:25Z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2025-12-15T13:23:26Z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990d90fe-bcf9-4715-a1e9-8fd54ef79926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