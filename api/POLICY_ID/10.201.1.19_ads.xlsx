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A5DB258E-0796-44C1-948F-07645CA7C9F3}" xr6:coauthVersionLast="47" xr6:coauthVersionMax="47" xr10:uidLastSave="{00000000-0000-0000-0000-000000000000}"/>
  <bookViews>
    <workbookView xWindow="-110" yWindow="-110" windowWidth="19420" windowHeight="11500" xr2:uid="{2F5715D9-F319-44B6-BE0D-2898D310168E}"/>
  </bookViews>
  <sheets>
    <sheet name="10.201.1.19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2" i="1"/>
  <c r="N3" i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<sst xmlns="http://schemas.openxmlformats.org/spreadsheetml/2006/main" count="105" uniqueCount="61">
  <si>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</si>
  <si>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</si>
  <si>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</si>
  <si>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</si>
  <si>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</si>
  <si>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</si>
  <si>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</si>
  <si>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</si>
  <si>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</si>
  <si>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</si>
  <si>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</si>
  <si>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</si>
  <si>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</si>
  <si>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</si>
  <si>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</si>
  <si>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10.201.3.52</t>
  </si>
  <si>
    <t>tcp</t>
  </si>
  <si>
    <t>ads-rule-10002</t>
  </si>
  <si>
    <t>From ADS data. Allow from 10.72.42.5</t>
  </si>
  <si>
    <t>ads-rule-10019</t>
  </si>
  <si>
    <t>From ADS data. Allow from 44.168.32.145</t>
  </si>
  <si>
    <t>ads-rule-10021</t>
  </si>
  <si>
    <t>From ADS data. Allow from 44.168.32.133</t>
  </si>
  <si>
    <t>ads-rule-10022</t>
  </si>
  <si>
    <t>From ADS data. Allow from 44.168.32.144</t>
  </si>
  <si>
    <t>ads-rule-10024</t>
  </si>
  <si>
    <t>From ADS data. Allow from 44.168.32.136</t>
  </si>
  <si>
    <t>ads-rule-10025</t>
  </si>
  <si>
    <t>From ADS data. Allow from 10.222.128.170</t>
  </si>
  <si>
    <t>ads-rule-10026</t>
  </si>
  <si>
    <t>From ADS data. Allow from 44.119.8.158</t>
  </si>
  <si>
    <t>10.201.3.52</t>
  </si>
  <si>
    <t>10.72.42.5</t>
  </si>
  <si>
    <t>44.168.32.145</t>
  </si>
  <si>
    <t>44.168.32.133</t>
  </si>
  <si>
    <t>44.168.32.144</t>
  </si>
  <si>
    <t>44.168.32.136</t>
  </si>
  <si>
    <t>10.222.128.170</t>
  </si>
  <si>
    <t>44.119.8.158</t>
  </si>
  <si>
    <t>aa</t>
  </si>
  <si>
    <t>get router info routing-table details</t>
  </si>
  <si>
    <t>diagnose firewall iprope lookup</t>
  </si>
  <si>
    <t>E2-EH-ADMOPE-1</t>
  </si>
  <si>
    <t>E2-EH-AGN</t>
  </si>
  <si>
    <t>aaa</t>
  </si>
  <si>
    <t>FR-E2-FW-EH-1-FNET $ diagnose firewall iprope lookup 10.201.3.52 22 10.201.1.19 22 tcp E2-EH-ADMOPE-1</t>
  </si>
  <si>
    <t>&lt;src [10.201.3.52-22] dst [10.201.1.19-22] proto tcp dev E2-EH-ADMOPE-1&gt; matches policy id: 683</t>
  </si>
  <si>
    <t>FR-E2-FW-EH-1-FNET $ diagnose firewall iprope lookup 10.72.42.5 22 10.201.1.19 22 tcp E2-EH-AGN</t>
  </si>
  <si>
    <t>&lt;src [10.72.42.5-22] dst [10.201.1.19-22] proto tcp dev E2-EH-AGN&gt; matches policy id: 8870</t>
  </si>
  <si>
    <t>FR-E2-FW-EH-1-FNET $ diagnose firewall iprope lookup 44.168.32.145 22 10.201.1.19 22 tcp E2-EH-AGN</t>
  </si>
  <si>
    <t>&lt;src [44.168.32.145-22] dst [10.201.1.19-22] proto tcp dev E2-EH-AGN&gt; matches policy id: 4151</t>
  </si>
  <si>
    <t>FR-E2-FW-EH-1-FNET $ diagnose firewall iprope lookup 44.168.32.133 22 10.201.1.19 22 tcp E2-EH-AGN</t>
  </si>
  <si>
    <t>&lt;src [44.168.32.133-22] dst [10.201.1.19-22] proto tcp dev E2-EH-AGN&gt; matches policy id: 4151</t>
  </si>
  <si>
    <t>FR-E2-FW-EH-1-FNET $ diagnose firewall iprope lookup 44.168.32.144 22 10.201.1.19 22 tcp E2-EH-AGN</t>
  </si>
  <si>
    <t>&lt;src [44.168.32.144-22] dst [10.201.1.19-22] proto tcp dev E2-EH-AGN&gt; matches policy id: 4151</t>
  </si>
  <si>
    <t>FR-E2-FW-EH-1-FNET $ diagnose firewall iprope lookup 44.168.32.136 22 10.201.1.19 22 tcp E2-EH-AGN</t>
  </si>
  <si>
    <t>&lt;src [44.168.32.136-22] dst [10.201.1.19-22] proto tcp dev E2-EH-AGN&gt; matches policy id: 4151</t>
  </si>
  <si>
    <t>FR-E2-FW-EH-1-FNET $ diagnose firewall iprope lookup 10.222.128.170 22 10.201.1.19 22 tcp E2-EH-AGN</t>
  </si>
  <si>
    <t>&lt;src [10.222.128.170-22] dst [10.201.1.19-22] proto tcp dev E2-EH-AGN&gt; matches policy id: 4151</t>
  </si>
  <si>
    <t>FR-E2-FW-EH-1-FNET $ diagnose firewall iprope lookup 44.119.8.158 22 10.201.1.19 22 tcp E2-EH-AGN</t>
  </si>
  <si>
    <t>&lt;src [44.119.8.158-22] dst [10.201.1.19-22] proto tcp dev E2-EH-AGN&gt; matches policy id: 8184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</si>
</sst>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7AA6-6402-450F-9DCB-9AC956E8A330}">
  <dimension ref="A1:Q9"/>
  <sheetViews>
    <sheetView tabSelected="1" topLeftCell="O1" workbookViewId="0">
      <selection activeCell="Q19" sqref="Q19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6.33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9.75" bestFit="1" customWidth="1"/>
    <col min="15" max="15" width="25.75" bestFit="1" customWidth="1"/>
    <col min="16" max="16" width="25.75" customWidth="1"/>
    <col min="17" max="17" width="73.1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</v>
      </c>
      <c r="N1" t="s">
        <v>39</v>
      </c>
      <c r="O1" t="s">
        <v>39</v>
      </c>
      <c r="P1" t="s">
        <v>44</v>
      </c>
      <c r="Q1" t="s">
        <v>39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31</v>
      </c>
      <c r="I2" t="s">
        <v>16</v>
      </c>
      <c r="J2">
        <v>22</v>
      </c>
      <c r="K2">
        <v>22</v>
      </c>
      <c r="M2" t="s">
        <v>40</v>
      </c>
      <c r="N2" t="str">
        <f>_xlfn.CONCAT(M2," ",E2, " | grep -f *")</f>
        <v>get router info routing-table details 10.201.3.52 | grep -f *</v>
      </c>
      <c r="O2" t="s">
        <v>41</v>
      </c>
      <c r="P2" t="s">
        <v>42</v>
      </c>
      <c r="Q2" t="str">
        <f>_xlfn.CONCAT(O2," ",E2," ",J2," 10.201.1.19 ",K2, " tcp ",P2,"")</f>
        <v>diagnose firewall iprope lookup 10.201.3.52 22 10.201.1.19 22 tcp E2-EH-ADMOPE-1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t="s">
        <v>32</v>
      </c>
      <c r="I3" t="s">
        <v>16</v>
      </c>
      <c r="J3">
        <v>22</v>
      </c>
      <c r="K3">
        <v>22</v>
      </c>
      <c r="M3" t="s">
        <v>40</v>
      </c>
      <c r="N3" t="str">
        <f t="shared" ref="N3:N9" si="0">_xlfn.CONCAT(M3," ",E3, " | grep -f *")</f>
        <v>get router info routing-table details 10.72.42.5 | grep -f *</v>
      </c>
      <c r="O3" t="s">
        <v>41</v>
      </c>
      <c r="P3" t="s">
        <v>43</v>
      </c>
      <c r="Q3" t="str">
        <f t="shared" ref="Q3:Q9" si="1">_xlfn.CONCAT(O3," ",E3," ",J3," 10.201.1.19 ",K3, " tcp ",P3,"")</f>
        <v>diagnose firewall iprope lookup 10.72.42.5 22 10.201.1.19 22 tcp E2-EH-AGN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t="s">
        <v>33</v>
      </c>
      <c r="I4" t="s">
        <v>16</v>
      </c>
      <c r="J4">
        <v>22</v>
      </c>
      <c r="K4">
        <v>22</v>
      </c>
      <c r="M4" t="s">
        <v>40</v>
      </c>
      <c r="N4" t="str">
        <f t="shared" si="0"/>
        <v>get router info routing-table details 44.168.32.145 | grep -f *</v>
      </c>
      <c r="O4" t="s">
        <v>41</v>
      </c>
      <c r="P4" t="s">
        <v>43</v>
      </c>
      <c r="Q4" t="str">
        <f t="shared" si="1"/>
        <v>diagnose firewall iprope lookup 44.168.32.145 22 10.201.1.19 22 tcp E2-EH-AGN</v>
      </c>
    </row>
    <row r="5" spans="1:17" x14ac:dyDescent="0.3">
      <c r="A5" t="s">
        <v>12</v>
      </c>
      <c r="B5" t="s">
        <v>13</v>
      </c>
      <c r="C5" t="s">
        <v>21</v>
      </c>
      <c r="D5" t="s">
        <v>22</v>
      </c>
      <c r="E5" t="s">
        <v>34</v>
      </c>
      <c r="I5" t="s">
        <v>16</v>
      </c>
      <c r="J5">
        <v>22</v>
      </c>
      <c r="K5">
        <v>22</v>
      </c>
      <c r="M5" t="s">
        <v>40</v>
      </c>
      <c r="N5" t="str">
        <f t="shared" si="0"/>
        <v>get router info routing-table details 44.168.32.133 | grep -f *</v>
      </c>
      <c r="O5" t="s">
        <v>41</v>
      </c>
      <c r="P5" t="s">
        <v>43</v>
      </c>
      <c r="Q5" t="str">
        <f t="shared" si="1"/>
        <v>diagnose firewall iprope lookup 44.168.32.133 22 10.201.1.19 22 tcp E2-EH-AGN</v>
      </c>
    </row>
    <row r="6" spans="1:17" x14ac:dyDescent="0.3">
      <c r="A6" t="s">
        <v>12</v>
      </c>
      <c r="B6" t="s">
        <v>13</v>
      </c>
      <c r="C6" t="s">
        <v>23</v>
      </c>
      <c r="D6" t="s">
        <v>24</v>
      </c>
      <c r="E6" t="s">
        <v>35</v>
      </c>
      <c r="I6" t="s">
        <v>16</v>
      </c>
      <c r="J6">
        <v>22</v>
      </c>
      <c r="K6">
        <v>22</v>
      </c>
      <c r="M6" t="s">
        <v>40</v>
      </c>
      <c r="N6" t="str">
        <f t="shared" si="0"/>
        <v>get router info routing-table details 44.168.32.144 | grep -f *</v>
      </c>
      <c r="O6" t="s">
        <v>41</v>
      </c>
      <c r="P6" t="s">
        <v>43</v>
      </c>
      <c r="Q6" t="str">
        <f t="shared" si="1"/>
        <v>diagnose firewall iprope lookup 44.168.32.144 22 10.201.1.19 22 tcp E2-EH-AGN</v>
      </c>
    </row>
    <row r="7" spans="1:17" x14ac:dyDescent="0.3">
      <c r="A7" t="s">
        <v>12</v>
      </c>
      <c r="B7" t="s">
        <v>13</v>
      </c>
      <c r="C7" t="s">
        <v>25</v>
      </c>
      <c r="D7" t="s">
        <v>26</v>
      </c>
      <c r="E7" t="s">
        <v>36</v>
      </c>
      <c r="I7" t="s">
        <v>16</v>
      </c>
      <c r="J7">
        <v>22</v>
      </c>
      <c r="K7">
        <v>22</v>
      </c>
      <c r="M7" t="s">
        <v>40</v>
      </c>
      <c r="N7" t="str">
        <f t="shared" si="0"/>
        <v>get router info routing-table details 44.168.32.136 | grep -f *</v>
      </c>
      <c r="O7" t="s">
        <v>41</v>
      </c>
      <c r="P7" t="s">
        <v>43</v>
      </c>
      <c r="Q7" t="str">
        <f t="shared" si="1"/>
        <v>diagnose firewall iprope lookup 44.168.32.136 22 10.201.1.19 22 tcp E2-EH-AGN</v>
      </c>
    </row>
    <row r="8" spans="1:17" x14ac:dyDescent="0.3">
      <c r="A8" t="s">
        <v>12</v>
      </c>
      <c r="B8" t="s">
        <v>13</v>
      </c>
      <c r="C8" t="s">
        <v>27</v>
      </c>
      <c r="D8" t="s">
        <v>28</v>
      </c>
      <c r="E8" t="s">
        <v>37</v>
      </c>
      <c r="I8" t="s">
        <v>16</v>
      </c>
      <c r="J8">
        <v>22</v>
      </c>
      <c r="K8">
        <v>22</v>
      </c>
      <c r="M8" t="s">
        <v>40</v>
      </c>
      <c r="N8" t="str">
        <f t="shared" si="0"/>
        <v>get router info routing-table details 10.222.128.170 | grep -f *</v>
      </c>
      <c r="O8" t="s">
        <v>41</v>
      </c>
      <c r="P8" t="s">
        <v>43</v>
      </c>
      <c r="Q8" t="str">
        <f t="shared" si="1"/>
        <v>diagnose firewall iprope lookup 10.222.128.170 22 10.201.1.19 22 tcp E2-EH-AGN</v>
      </c>
    </row>
    <row r="9" spans="1:17" x14ac:dyDescent="0.3">
      <c r="A9" t="s">
        <v>12</v>
      </c>
      <c r="B9" t="s">
        <v>13</v>
      </c>
      <c r="C9" t="s">
        <v>29</v>
      </c>
      <c r="D9" t="s">
        <v>30</v>
      </c>
      <c r="E9" t="s">
        <v>38</v>
      </c>
      <c r="I9" t="s">
        <v>16</v>
      </c>
      <c r="J9">
        <v>22</v>
      </c>
      <c r="K9">
        <v>22</v>
      </c>
      <c r="M9" t="s">
        <v>40</v>
      </c>
      <c r="N9" t="str">
        <f t="shared" si="0"/>
        <v>get router info routing-table details 44.119.8.158 | grep -f *</v>
      </c>
      <c r="O9" t="s">
        <v>41</v>
      </c>
      <c r="P9" t="s">
        <v>43</v>
      </c>
      <c r="Q9" t="str">
        <f t="shared" si="1"/>
        <v>diagnose firewall iprope lookup 44.119.8.158 22 10.201.1.19 22 tcp E2-EH-AGN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3451-01EA-4200-8A7C-E7C326A1E258}">
  <dimension ref="A1:A23"/>
  <sheetViews>
    <sheetView workbookViewId="0">
      <selection sqref="A1:A1048576"/>
    </sheetView>
  </sheetViews>
  <sheetFormatPr defaultRowHeight="14" x14ac:dyDescent="0.3"/>
  <cols>
    <col min="1" max="1" width="95.4140625" bestFit="1" customWidth="1"/>
  </cols>
  <sheetData>
    <row r="1" spans="1:1" x14ac:dyDescent="0.3">
      <c r="A1" t="s">
        <v>45</v>
      </c>
    </row>
    <row r="2" spans="1:1" x14ac:dyDescent="0.3">
      <c r="A2" t="s">
        <v>46</v>
      </c>
    </row>
    <row r="4" spans="1:1" x14ac:dyDescent="0.3">
      <c r="A4" t="s">
        <v>47</v>
      </c>
    </row>
    <row r="5" spans="1:1" x14ac:dyDescent="0.3">
      <c r="A5" t="s">
        <v>48</v>
      </c>
    </row>
    <row r="7" spans="1:1" x14ac:dyDescent="0.3">
      <c r="A7" t="s">
        <v>49</v>
      </c>
    </row>
    <row r="8" spans="1:1" x14ac:dyDescent="0.3">
      <c r="A8" t="s">
        <v>50</v>
      </c>
    </row>
    <row r="10" spans="1:1" x14ac:dyDescent="0.3">
      <c r="A10" t="s">
        <v>51</v>
      </c>
    </row>
    <row r="11" spans="1:1" x14ac:dyDescent="0.3">
      <c r="A11" t="s">
        <v>52</v>
      </c>
    </row>
    <row r="13" spans="1:1" x14ac:dyDescent="0.3">
      <c r="A13" t="s">
        <v>53</v>
      </c>
    </row>
    <row r="14" spans="1:1" x14ac:dyDescent="0.3">
      <c r="A14" t="s">
        <v>54</v>
      </c>
    </row>
    <row r="16" spans="1:1" x14ac:dyDescent="0.3">
      <c r="A16" t="s">
        <v>55</v>
      </c>
    </row>
    <row r="17" spans="1:1" x14ac:dyDescent="0.3">
      <c r="A17" t="s">
        <v>56</v>
      </c>
    </row>
    <row r="19" spans="1:1" x14ac:dyDescent="0.3">
      <c r="A19" t="s">
        <v>57</v>
      </c>
    </row>
    <row r="20" spans="1:1" x14ac:dyDescent="0.3">
      <c r="A20" t="s">
        <v>58</v>
      </c>
    </row>
    <row r="22" spans="1:1" x14ac:dyDescent="0.3">
      <c r="A22" t="s">
        <v>59</v>
      </c>
    </row>
    <row r="23" spans="1:1" x14ac:dyDescent="0.3">
      <c r="A2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10.201.1.19_ads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2025-12-15T11:04:29Z</dcterms:created>
  <dcterms:modified xsi:type="dcterms:W3CDTF">2025-12-15T13:36:54Z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2025-12-15T11:04:29Z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0089294b-0171-489d-ac52-70e76fe42667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