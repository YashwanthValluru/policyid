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C8BFB9C6-152C-490F-98D0-B65FA383F956}" xr6:coauthVersionLast="47" xr6:coauthVersionMax="47" xr10:uidLastSave="{00000000-0000-0000-0000-000000000000}"/>
  <bookViews>
    <workbookView xWindow="-110" yWindow="-110" windowWidth="19420" windowHeight="11500" xr2:uid="{4A9A107B-25DD-411B-AD48-D18C70C6FEF4}"/>
  </bookViews>
  <sheets>
    <sheet name="10.201.1.22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" i="1"/>
</calcChain>
</file>

<file path=xl/sharedStrings.xml><?xml version="1.0" encoding="utf-8"?>
<sst xmlns="http://schemas.openxmlformats.org/spreadsheetml/2006/main" count="227" uniqueCount="107">
  <si>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</si>
  <si>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</si>
  <si>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</si>
  <si>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</si>
  <si>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</si>
  <si>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</si>
  <si>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</si>
  <si>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</si>
  <si>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</si>
  <si>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</si>
  <si>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</si>
  <si>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</si>
  <si>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</si>
  <si>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</si>
  <si>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</si>
  <si>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10.202.141.55</t>
  </si>
  <si>
    <t>tcp</t>
  </si>
  <si>
    <t>ads-rule-10002</t>
  </si>
  <si>
    <t>From ADS data. Allow from 10.201.3.196</t>
  </si>
  <si>
    <t>ads-rule-10003</t>
  </si>
  <si>
    <t>From ADS data. Allow ephemeral ports from 10.201.3.196/32</t>
  </si>
  <si>
    <t>ads-rule-10004</t>
  </si>
  <si>
    <t>From ADS data. Allow from 10.202.141.218</t>
  </si>
  <si>
    <t>ads-rule-10005</t>
  </si>
  <si>
    <t>ads-rule-10006</t>
  </si>
  <si>
    <t>From ADS data. Allow from 10.72.42.11</t>
  </si>
  <si>
    <t>ads-rule-10007</t>
  </si>
  <si>
    <t>From ADS data. Allow ephemeral ports from 10.72.42.11/32</t>
  </si>
  <si>
    <t>ads-rule-10008</t>
  </si>
  <si>
    <t>From ADS data. Allow from 10.222.218.99</t>
  </si>
  <si>
    <t>ads-rule-10009</t>
  </si>
  <si>
    <t>From ADS data. Allow from 10.196.18.137</t>
  </si>
  <si>
    <t>ads-rule-10010</t>
  </si>
  <si>
    <t>From ADS data. Allow from 44.168.32.145</t>
  </si>
  <si>
    <t>ads-rule-10011</t>
  </si>
  <si>
    <t>ads-rule-10012</t>
  </si>
  <si>
    <t>From ADS data. Allow ephemeral ports from 44.168.32.145/32</t>
  </si>
  <si>
    <t>ads-rule-10013</t>
  </si>
  <si>
    <t>From ADS data. Allow from 44.168.32.135</t>
  </si>
  <si>
    <t>ads-rule-10014</t>
  </si>
  <si>
    <t>ads-rule-10015</t>
  </si>
  <si>
    <t>From ADS data. Allow ephemeral ports from 44.168.32.135/32</t>
  </si>
  <si>
    <t>ads-rule-10016</t>
  </si>
  <si>
    <t>From ADS data. Allow from 10.196.16.131</t>
  </si>
  <si>
    <t>ads-rule-10017</t>
  </si>
  <si>
    <t>From ADS data. Allow from 10.196.64.63</t>
  </si>
  <si>
    <t>ads-rule-10018</t>
  </si>
  <si>
    <t>From ADS data. Allow from 44.168.32.144</t>
  </si>
  <si>
    <t>ads-rule-10019</t>
  </si>
  <si>
    <t>From ADS data. Allow from 10.196.17.160</t>
  </si>
  <si>
    <t>10.202.141.55</t>
  </si>
  <si>
    <t>10.201.3.196</t>
  </si>
  <si>
    <t>10.202.141.218</t>
  </si>
  <si>
    <t>10.72.42.11</t>
  </si>
  <si>
    <t>10.222.218.99</t>
  </si>
  <si>
    <t>10.196.18.137</t>
  </si>
  <si>
    <t>44.168.32.145</t>
  </si>
  <si>
    <t>44.168.32.135</t>
  </si>
  <si>
    <t>10.196.16.131</t>
  </si>
  <si>
    <t>10.196.64.63</t>
  </si>
  <si>
    <t>44.168.32.144</t>
  </si>
  <si>
    <t>10.196.17.160</t>
  </si>
  <si>
    <t>aa</t>
  </si>
  <si>
    <t>get router info routing-table details</t>
  </si>
  <si>
    <t>diagnose firewall iprope lookup</t>
  </si>
  <si>
    <t>E2-EH-AGN</t>
  </si>
  <si>
    <t>E2-EH-ADMOPE-1</t>
  </si>
  <si>
    <t>E2-EH-VPN</t>
  </si>
  <si>
    <t xml:space="preserve">FR-E2-FW-EH-1-FNET $ </t>
  </si>
  <si>
    <t>FR-E2-FW-EH-1-FNET $ diagnose firewall iprope lookup 10.202.141.55 445 10.201.1.22 445 tcp E2-EH-AGN</t>
  </si>
  <si>
    <t>&lt;src [10.202.141.55-445] dst [10.201.1.22-445] proto tcp dev E2-EH-AGN&gt; matches policy id: 4151</t>
  </si>
  <si>
    <t>FR-E2-FW-EH-1-FNET $ diagnose firewall iprope lookup 10.201.3.196 135 10.201.1.22 135 tcp E2-EH-ADMOPE-1</t>
  </si>
  <si>
    <t>&lt;src [10.201.3.196-135] dst [10.201.1.22-135] proto tcp dev E2-EH-ADMOPE-1&gt; matches policy id: 683</t>
  </si>
  <si>
    <t>FR-E2-FW-EH-1-FNET $ diagnose firewall iprope lookup 10.201.3.196 49152 10.201.1.22 65535 tcp E2-EH-ADMOPE-1</t>
  </si>
  <si>
    <t>&lt;src [10.201.3.196-49152] dst [10.201.1.22-65535] proto tcp dev E2-EH-ADMOPE-1&gt; matches policy id: 683</t>
  </si>
  <si>
    <t>FR-E2-FW-EH-1-FNET $ diagnose firewall iprope lookup 10.202.141.218 445 10.201.1.22 445 tcp E2-EH-AGN</t>
  </si>
  <si>
    <t>&lt;src [10.202.141.218-445] dst [10.201.1.22-445] proto tcp dev E2-EH-AGN&gt; matches policy id: 4151</t>
  </si>
  <si>
    <t>FR-E2-FW-EH-1-FNET $ diagnose firewall iprope lookup 10.202.141.218 3389 10.201.1.22 3389 tcp E2-EH-AGN</t>
  </si>
  <si>
    <t>&lt;src [10.202.141.218-3389] dst [10.201.1.22-3389] proto tcp dev E2-EH-AGN&gt; matches policy id: 4151</t>
  </si>
  <si>
    <t>FR-E2-FW-EH-1-FNET $ diagnose firewall iprope lookup 10.72.42.11 135 10.201.1.22 135 tcp E2-EH-AGN</t>
  </si>
  <si>
    <t>&lt;src [10.72.42.11-135] dst [10.201.1.22-135] proto tcp dev E2-EH-AGN&gt; matches policy id: 8870</t>
  </si>
  <si>
    <t>FR-E2-FW-EH-1-FNET $ diagnose firewall iprope lookup 10.72.42.11 49152 10.201.1.22 65535 tcp E2-EH-AGN</t>
  </si>
  <si>
    <t>&lt;src [10.72.42.11-49152] dst [10.201.1.22-65535] proto tcp dev E2-EH-AGN&gt; matches policy id: 8870</t>
  </si>
  <si>
    <t>FR-E2-FW-EH-1-FNET $ diagnose firewall iprope lookup 10.222.218.99 3389 10.201.1.22 3389 tcp E2-EH-VPN</t>
  </si>
  <si>
    <t>&lt;src [10.222.218.99-3389] dst [10.201.1.22-3389] proto tcp dev E2-EH-VPN&gt; matches policy id: 5189</t>
  </si>
  <si>
    <t>FR-E2-FW-EH-1-FNET $ diagnose firewall iprope lookup 10.196.18.137 3389 10.201.1.22 3389 tcp E2-EH-AGN</t>
  </si>
  <si>
    <t>&lt;src [10.196.18.137-3389] dst [10.201.1.22-3389] proto tcp dev E2-EH-AGN&gt; matches policy id: 4151</t>
  </si>
  <si>
    <t>FR-E2-FW-EH-1-FNET $ diagnose firewall iprope lookup 44.168.32.145 135 10.201.1.22 135 tcp E2-EH-AGN</t>
  </si>
  <si>
    <t>&lt;src [44.168.32.145-135] dst [10.201.1.22-135] proto tcp dev E2-EH-AGN&gt; matches policy id: 4151</t>
  </si>
  <si>
    <t>FR-E2-FW-EH-1-FNET $ diagnose firewall iprope lookup 44.168.32.145 445 10.201.1.22 445 tcp E2-EH-AGN</t>
  </si>
  <si>
    <t>&lt;src [44.168.32.145-445] dst [10.201.1.22-445] proto tcp dev E2-EH-AGN&gt; matches policy id: 4151</t>
  </si>
  <si>
    <t>FR-E2-FW-EH-1-FNET $ diagnose firewall iprope lookup 44.168.32.145 49152 10.201.1.22 65535 tcp E2-EH-AGN</t>
  </si>
  <si>
    <t>&lt;src [44.168.32.145-49152] dst [10.201.1.22-65535] proto tcp dev E2-EH-AGN&gt; matches policy id: 4151</t>
  </si>
  <si>
    <t>FR-E2-FW-EH-1-FNET $ diagnose firewall iprope lookup 44.168.32.135 135 10.201.1.22 135 tcp E2-EH-AGN</t>
  </si>
  <si>
    <t>&lt;src [44.168.32.135-135] dst [10.201.1.22-135] proto tcp dev E2-EH-AGN&gt; matches policy id: 4151</t>
  </si>
  <si>
    <t>FR-E2-FW-EH-1-FNET $ diagnose firewall iprope lookup 44.168.32.135 445 10.201.1.22 445 tcp E2-EH-AGN</t>
  </si>
  <si>
    <t>&lt;src [44.168.32.135-445] dst [10.201.1.22-445] proto tcp dev E2-EH-AGN&gt; matches policy id: 4151</t>
  </si>
  <si>
    <t>FR-E2-FW-EH-1-FNET $ diagnose firewall iprope lookup 44.168.32.135 49152 10.201.1.22 65535 tcp E2-EH-AGN</t>
  </si>
  <si>
    <t>&lt;src [44.168.32.135-49152] dst [10.201.1.22-65535] proto tcp dev E2-EH-AGN&gt; matches policy id: 4151</t>
  </si>
  <si>
    <t>FR-E2-FW-EH-1-FNET $ diagnose firewall iprope lookup 10.196.16.131 3389 10.201.1.22 3389 tcp E2-EH-AGN</t>
  </si>
  <si>
    <t>&lt;src [10.196.16.131-3389] dst [10.201.1.22-3389] proto tcp dev E2-EH-AGN&gt; matches policy id: 4151</t>
  </si>
  <si>
    <t>FR-E2-FW-EH-1-FNET $ diagnose firewall iprope lookup 10.196.64.63 3389 10.201.1.22 3389 tcp E2-EH-VPN</t>
  </si>
  <si>
    <t>&lt;src [10.196.64.63-3389] dst [10.201.1.22-3389] proto tcp dev E2-EH-VPN&gt; matches policy id: 5189</t>
  </si>
  <si>
    <t>FR-E2-FW-EH-1-FNET $ diagnose firewall iprope lookup 44.168.32.144 135 10.201.1.22 135 tcp E2-EH-AGN</t>
  </si>
  <si>
    <t>&lt;src [44.168.32.144-135] dst [10.201.1.22-135] proto tcp dev E2-EH-AGN&gt; matches policy id: 4151</t>
  </si>
  <si>
    <t>FR-E2-FW-EH-1-FNET $ diagnose firewall iprope lookup 10.196.17.160 3389 10.201.1.22 3389 tcp E2-EH-AGN</t>
  </si>
  <si>
    <t>&lt;src [10.196.17.160-3389] dst [10.201.1.22-3389] proto tcp dev E2-EH-AGN&gt; matches policy id: 4151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</si>
</sst>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CE29-E52E-4F54-A1F0-98A34DB455E0}">
  <dimension ref="A1:Q20"/>
  <sheetViews>
    <sheetView tabSelected="1" topLeftCell="O1" workbookViewId="0">
      <selection activeCell="Q22" sqref="Q22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51.58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9.75" bestFit="1" customWidth="1"/>
    <col min="15" max="15" width="25.75" bestFit="1" customWidth="1"/>
    <col min="16" max="16" width="25.75" customWidth="1"/>
    <col min="17" max="17" width="78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62</v>
      </c>
      <c r="N1" t="s">
        <v>62</v>
      </c>
      <c r="O1" t="s">
        <v>62</v>
      </c>
      <c r="P1" t="s">
        <v>62</v>
      </c>
      <c r="Q1" t="s">
        <v>62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50</v>
      </c>
      <c r="I2" t="s">
        <v>16</v>
      </c>
      <c r="J2">
        <v>445</v>
      </c>
      <c r="K2">
        <v>445</v>
      </c>
      <c r="M2" t="s">
        <v>63</v>
      </c>
      <c r="N2" t="str">
        <f>_xlfn.CONCAT(M2," ",E2, " | grep -f *")</f>
        <v>get router info routing-table details 10.202.141.55 | grep -f *</v>
      </c>
      <c r="O2" t="s">
        <v>64</v>
      </c>
      <c r="P2" t="s">
        <v>65</v>
      </c>
      <c r="Q2" t="str">
        <f>_xlfn.CONCAT(O2," ",E2," ",J2," 10.201.1.22 ",K2, " tcp ",P2,"")</f>
        <v>diagnose firewall iprope lookup 10.202.141.55 445 10.201.1.22 445 tcp E2-EH-AGN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51</v>
      </c>
      <c r="I3" t="s">
        <v>16</v>
      </c>
      <c r="J3">
        <v>135</v>
      </c>
      <c r="K3">
        <v>135</v>
      </c>
      <c r="M3" t="s">
        <v>63</v>
      </c>
      <c r="N3" t="str">
        <f t="shared" ref="N3:N20" si="0">_xlfn.CONCAT(M3," ",E3, " | grep -f *")</f>
        <v>get router info routing-table details 10.201.3.196 | grep -f *</v>
      </c>
      <c r="O3" t="s">
        <v>64</v>
      </c>
      <c r="P3" t="s">
        <v>66</v>
      </c>
      <c r="Q3" t="str">
        <f t="shared" ref="Q3:Q20" si="1">_xlfn.CONCAT(O3," ",E3," ",J3," 10.201.1.22 ",K3, " tcp ",P3,"")</f>
        <v>diagnose firewall iprope lookup 10.201.3.196 135 10.201.1.22 135 tcp E2-EH-ADMOPE-1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51</v>
      </c>
      <c r="I4" t="s">
        <v>16</v>
      </c>
      <c r="J4">
        <v>49152</v>
      </c>
      <c r="K4">
        <v>65535</v>
      </c>
      <c r="M4" t="s">
        <v>63</v>
      </c>
      <c r="N4" t="str">
        <f t="shared" si="0"/>
        <v>get router info routing-table details 10.201.3.196 | grep -f *</v>
      </c>
      <c r="O4" t="s">
        <v>64</v>
      </c>
      <c r="P4" t="s">
        <v>66</v>
      </c>
      <c r="Q4" t="str">
        <f t="shared" si="1"/>
        <v>diagnose firewall iprope lookup 10.201.3.196 49152 10.201.1.22 65535 tcp E2-EH-ADMOPE-1</v>
      </c>
    </row>
    <row r="5" spans="1:17" x14ac:dyDescent="0.3">
      <c r="A5" t="s">
        <v>12</v>
      </c>
      <c r="B5" t="s">
        <v>13</v>
      </c>
      <c r="C5" t="s">
        <v>21</v>
      </c>
      <c r="D5" t="s">
        <v>22</v>
      </c>
      <c r="E5" t="s">
        <v>52</v>
      </c>
      <c r="I5" t="s">
        <v>16</v>
      </c>
      <c r="J5">
        <v>445</v>
      </c>
      <c r="K5">
        <v>445</v>
      </c>
      <c r="M5" t="s">
        <v>63</v>
      </c>
      <c r="N5" t="str">
        <f t="shared" si="0"/>
        <v>get router info routing-table details 10.202.141.218 | grep -f *</v>
      </c>
      <c r="O5" t="s">
        <v>64</v>
      </c>
      <c r="P5" t="s">
        <v>65</v>
      </c>
      <c r="Q5" t="str">
        <f t="shared" si="1"/>
        <v>diagnose firewall iprope lookup 10.202.141.218 445 10.201.1.22 445 tcp E2-EH-AGN</v>
      </c>
    </row>
    <row r="6" spans="1:17" x14ac:dyDescent="0.3">
      <c r="A6" t="s">
        <v>12</v>
      </c>
      <c r="B6" t="s">
        <v>13</v>
      </c>
      <c r="C6" t="s">
        <v>23</v>
      </c>
      <c r="D6" t="s">
        <v>22</v>
      </c>
      <c r="E6" t="s">
        <v>52</v>
      </c>
      <c r="I6" t="s">
        <v>16</v>
      </c>
      <c r="J6">
        <v>3389</v>
      </c>
      <c r="K6">
        <v>3389</v>
      </c>
      <c r="M6" t="s">
        <v>63</v>
      </c>
      <c r="N6" t="str">
        <f t="shared" si="0"/>
        <v>get router info routing-table details 10.202.141.218 | grep -f *</v>
      </c>
      <c r="O6" t="s">
        <v>64</v>
      </c>
      <c r="P6" t="s">
        <v>65</v>
      </c>
      <c r="Q6" t="str">
        <f t="shared" si="1"/>
        <v>diagnose firewall iprope lookup 10.202.141.218 3389 10.201.1.22 3389 tcp E2-EH-AGN</v>
      </c>
    </row>
    <row r="7" spans="1:17" x14ac:dyDescent="0.3">
      <c r="A7" t="s">
        <v>12</v>
      </c>
      <c r="B7" t="s">
        <v>13</v>
      </c>
      <c r="C7" t="s">
        <v>24</v>
      </c>
      <c r="D7" t="s">
        <v>25</v>
      </c>
      <c r="E7" t="s">
        <v>53</v>
      </c>
      <c r="I7" t="s">
        <v>16</v>
      </c>
      <c r="J7">
        <v>135</v>
      </c>
      <c r="K7">
        <v>135</v>
      </c>
      <c r="M7" t="s">
        <v>63</v>
      </c>
      <c r="N7" t="str">
        <f t="shared" si="0"/>
        <v>get router info routing-table details 10.72.42.11 | grep -f *</v>
      </c>
      <c r="O7" t="s">
        <v>64</v>
      </c>
      <c r="P7" t="s">
        <v>65</v>
      </c>
      <c r="Q7" t="str">
        <f t="shared" si="1"/>
        <v>diagnose firewall iprope lookup 10.72.42.11 135 10.201.1.22 135 tcp E2-EH-AGN</v>
      </c>
    </row>
    <row r="8" spans="1:17" x14ac:dyDescent="0.3">
      <c r="A8" t="s">
        <v>12</v>
      </c>
      <c r="B8" t="s">
        <v>13</v>
      </c>
      <c r="C8" t="s">
        <v>26</v>
      </c>
      <c r="D8" t="s">
        <v>27</v>
      </c>
      <c r="E8" t="s">
        <v>53</v>
      </c>
      <c r="I8" t="s">
        <v>16</v>
      </c>
      <c r="J8">
        <v>49152</v>
      </c>
      <c r="K8">
        <v>65535</v>
      </c>
      <c r="M8" t="s">
        <v>63</v>
      </c>
      <c r="N8" t="str">
        <f t="shared" si="0"/>
        <v>get router info routing-table details 10.72.42.11 | grep -f *</v>
      </c>
      <c r="O8" t="s">
        <v>64</v>
      </c>
      <c r="P8" t="s">
        <v>65</v>
      </c>
      <c r="Q8" t="str">
        <f t="shared" si="1"/>
        <v>diagnose firewall iprope lookup 10.72.42.11 49152 10.201.1.22 65535 tcp E2-EH-AGN</v>
      </c>
    </row>
    <row r="9" spans="1:17" x14ac:dyDescent="0.3">
      <c r="A9" t="s">
        <v>12</v>
      </c>
      <c r="B9" t="s">
        <v>13</v>
      </c>
      <c r="C9" t="s">
        <v>28</v>
      </c>
      <c r="D9" t="s">
        <v>29</v>
      </c>
      <c r="E9" t="s">
        <v>54</v>
      </c>
      <c r="I9" t="s">
        <v>16</v>
      </c>
      <c r="J9">
        <v>3389</v>
      </c>
      <c r="K9">
        <v>3389</v>
      </c>
      <c r="M9" t="s">
        <v>63</v>
      </c>
      <c r="N9" t="str">
        <f t="shared" si="0"/>
        <v>get router info routing-table details 10.222.218.99 | grep -f *</v>
      </c>
      <c r="O9" t="s">
        <v>64</v>
      </c>
      <c r="P9" t="s">
        <v>67</v>
      </c>
      <c r="Q9" t="str">
        <f t="shared" si="1"/>
        <v>diagnose firewall iprope lookup 10.222.218.99 3389 10.201.1.22 3389 tcp E2-EH-VPN</v>
      </c>
    </row>
    <row r="10" spans="1:17" x14ac:dyDescent="0.3">
      <c r="A10" t="s">
        <v>12</v>
      </c>
      <c r="B10" t="s">
        <v>13</v>
      </c>
      <c r="C10" t="s">
        <v>30</v>
      </c>
      <c r="D10" t="s">
        <v>31</v>
      </c>
      <c r="E10" t="s">
        <v>55</v>
      </c>
      <c r="I10" t="s">
        <v>16</v>
      </c>
      <c r="J10">
        <v>3389</v>
      </c>
      <c r="K10">
        <v>3389</v>
      </c>
      <c r="M10" t="s">
        <v>63</v>
      </c>
      <c r="N10" t="str">
        <f t="shared" si="0"/>
        <v>get router info routing-table details 10.196.18.137 | grep -f *</v>
      </c>
      <c r="O10" t="s">
        <v>64</v>
      </c>
      <c r="P10" t="s">
        <v>65</v>
      </c>
      <c r="Q10" t="str">
        <f t="shared" si="1"/>
        <v>diagnose firewall iprope lookup 10.196.18.137 3389 10.201.1.22 3389 tcp E2-EH-AGN</v>
      </c>
    </row>
    <row r="11" spans="1:17" x14ac:dyDescent="0.3">
      <c r="A11" t="s">
        <v>12</v>
      </c>
      <c r="B11" t="s">
        <v>13</v>
      </c>
      <c r="C11" t="s">
        <v>32</v>
      </c>
      <c r="D11" t="s">
        <v>33</v>
      </c>
      <c r="E11" t="s">
        <v>56</v>
      </c>
      <c r="I11" t="s">
        <v>16</v>
      </c>
      <c r="J11">
        <v>135</v>
      </c>
      <c r="K11">
        <v>135</v>
      </c>
      <c r="M11" t="s">
        <v>63</v>
      </c>
      <c r="N11" t="str">
        <f t="shared" si="0"/>
        <v>get router info routing-table details 44.168.32.145 | grep -f *</v>
      </c>
      <c r="O11" t="s">
        <v>64</v>
      </c>
      <c r="P11" t="s">
        <v>65</v>
      </c>
      <c r="Q11" t="str">
        <f t="shared" si="1"/>
        <v>diagnose firewall iprope lookup 44.168.32.145 135 10.201.1.22 135 tcp E2-EH-AGN</v>
      </c>
    </row>
    <row r="12" spans="1:17" x14ac:dyDescent="0.3">
      <c r="A12" t="s">
        <v>12</v>
      </c>
      <c r="B12" t="s">
        <v>13</v>
      </c>
      <c r="C12" t="s">
        <v>34</v>
      </c>
      <c r="D12" t="s">
        <v>33</v>
      </c>
      <c r="E12" t="s">
        <v>56</v>
      </c>
      <c r="I12" t="s">
        <v>16</v>
      </c>
      <c r="J12">
        <v>445</v>
      </c>
      <c r="K12">
        <v>445</v>
      </c>
      <c r="M12" t="s">
        <v>63</v>
      </c>
      <c r="N12" t="str">
        <f t="shared" si="0"/>
        <v>get router info routing-table details 44.168.32.145 | grep -f *</v>
      </c>
      <c r="O12" t="s">
        <v>64</v>
      </c>
      <c r="P12" t="s">
        <v>65</v>
      </c>
      <c r="Q12" t="str">
        <f t="shared" si="1"/>
        <v>diagnose firewall iprope lookup 44.168.32.145 445 10.201.1.22 445 tcp E2-EH-AGN</v>
      </c>
    </row>
    <row r="13" spans="1:17" x14ac:dyDescent="0.3">
      <c r="A13" t="s">
        <v>12</v>
      </c>
      <c r="B13" t="s">
        <v>13</v>
      </c>
      <c r="C13" t="s">
        <v>35</v>
      </c>
      <c r="D13" t="s">
        <v>36</v>
      </c>
      <c r="E13" t="s">
        <v>56</v>
      </c>
      <c r="I13" t="s">
        <v>16</v>
      </c>
      <c r="J13">
        <v>49152</v>
      </c>
      <c r="K13">
        <v>65535</v>
      </c>
      <c r="M13" t="s">
        <v>63</v>
      </c>
      <c r="N13" t="str">
        <f t="shared" si="0"/>
        <v>get router info routing-table details 44.168.32.145 | grep -f *</v>
      </c>
      <c r="O13" t="s">
        <v>64</v>
      </c>
      <c r="P13" t="s">
        <v>65</v>
      </c>
      <c r="Q13" t="str">
        <f t="shared" si="1"/>
        <v>diagnose firewall iprope lookup 44.168.32.145 49152 10.201.1.22 65535 tcp E2-EH-AGN</v>
      </c>
    </row>
    <row r="14" spans="1:17" x14ac:dyDescent="0.3">
      <c r="A14" t="s">
        <v>12</v>
      </c>
      <c r="B14" t="s">
        <v>13</v>
      </c>
      <c r="C14" t="s">
        <v>37</v>
      </c>
      <c r="D14" t="s">
        <v>38</v>
      </c>
      <c r="E14" t="s">
        <v>57</v>
      </c>
      <c r="I14" t="s">
        <v>16</v>
      </c>
      <c r="J14">
        <v>135</v>
      </c>
      <c r="K14">
        <v>135</v>
      </c>
      <c r="M14" t="s">
        <v>63</v>
      </c>
      <c r="N14" t="str">
        <f t="shared" si="0"/>
        <v>get router info routing-table details 44.168.32.135 | grep -f *</v>
      </c>
      <c r="O14" t="s">
        <v>64</v>
      </c>
      <c r="P14" t="s">
        <v>65</v>
      </c>
      <c r="Q14" t="str">
        <f t="shared" si="1"/>
        <v>diagnose firewall iprope lookup 44.168.32.135 135 10.201.1.22 135 tcp E2-EH-AGN</v>
      </c>
    </row>
    <row r="15" spans="1:17" x14ac:dyDescent="0.3">
      <c r="A15" t="s">
        <v>12</v>
      </c>
      <c r="B15" t="s">
        <v>13</v>
      </c>
      <c r="C15" t="s">
        <v>39</v>
      </c>
      <c r="D15" t="s">
        <v>38</v>
      </c>
      <c r="E15" t="s">
        <v>57</v>
      </c>
      <c r="I15" t="s">
        <v>16</v>
      </c>
      <c r="J15">
        <v>445</v>
      </c>
      <c r="K15">
        <v>445</v>
      </c>
      <c r="M15" t="s">
        <v>63</v>
      </c>
      <c r="N15" t="str">
        <f t="shared" si="0"/>
        <v>get router info routing-table details 44.168.32.135 | grep -f *</v>
      </c>
      <c r="O15" t="s">
        <v>64</v>
      </c>
      <c r="P15" t="s">
        <v>65</v>
      </c>
      <c r="Q15" t="str">
        <f t="shared" si="1"/>
        <v>diagnose firewall iprope lookup 44.168.32.135 445 10.201.1.22 445 tcp E2-EH-AGN</v>
      </c>
    </row>
    <row r="16" spans="1:17" x14ac:dyDescent="0.3">
      <c r="A16" t="s">
        <v>12</v>
      </c>
      <c r="B16" t="s">
        <v>13</v>
      </c>
      <c r="C16" t="s">
        <v>40</v>
      </c>
      <c r="D16" t="s">
        <v>41</v>
      </c>
      <c r="E16" t="s">
        <v>57</v>
      </c>
      <c r="I16" t="s">
        <v>16</v>
      </c>
      <c r="J16">
        <v>49152</v>
      </c>
      <c r="K16">
        <v>65535</v>
      </c>
      <c r="M16" t="s">
        <v>63</v>
      </c>
      <c r="N16" t="str">
        <f t="shared" si="0"/>
        <v>get router info routing-table details 44.168.32.135 | grep -f *</v>
      </c>
      <c r="O16" t="s">
        <v>64</v>
      </c>
      <c r="P16" t="s">
        <v>65</v>
      </c>
      <c r="Q16" t="str">
        <f t="shared" si="1"/>
        <v>diagnose firewall iprope lookup 44.168.32.135 49152 10.201.1.22 65535 tcp E2-EH-AGN</v>
      </c>
    </row>
    <row r="17" spans="1:17" x14ac:dyDescent="0.3">
      <c r="A17" t="s">
        <v>12</v>
      </c>
      <c r="B17" t="s">
        <v>13</v>
      </c>
      <c r="C17" t="s">
        <v>42</v>
      </c>
      <c r="D17" t="s">
        <v>43</v>
      </c>
      <c r="E17" t="s">
        <v>58</v>
      </c>
      <c r="I17" t="s">
        <v>16</v>
      </c>
      <c r="J17">
        <v>3389</v>
      </c>
      <c r="K17">
        <v>3389</v>
      </c>
      <c r="M17" t="s">
        <v>63</v>
      </c>
      <c r="N17" t="str">
        <f t="shared" si="0"/>
        <v>get router info routing-table details 10.196.16.131 | grep -f *</v>
      </c>
      <c r="O17" t="s">
        <v>64</v>
      </c>
      <c r="P17" t="s">
        <v>65</v>
      </c>
      <c r="Q17" t="str">
        <f t="shared" si="1"/>
        <v>diagnose firewall iprope lookup 10.196.16.131 3389 10.201.1.22 3389 tcp E2-EH-AGN</v>
      </c>
    </row>
    <row r="18" spans="1:17" x14ac:dyDescent="0.3">
      <c r="A18" t="s">
        <v>12</v>
      </c>
      <c r="B18" t="s">
        <v>13</v>
      </c>
      <c r="C18" t="s">
        <v>44</v>
      </c>
      <c r="D18" t="s">
        <v>45</v>
      </c>
      <c r="E18" t="s">
        <v>59</v>
      </c>
      <c r="I18" t="s">
        <v>16</v>
      </c>
      <c r="J18">
        <v>3389</v>
      </c>
      <c r="K18">
        <v>3389</v>
      </c>
      <c r="M18" t="s">
        <v>63</v>
      </c>
      <c r="N18" t="str">
        <f t="shared" si="0"/>
        <v>get router info routing-table details 10.196.64.63 | grep -f *</v>
      </c>
      <c r="O18" t="s">
        <v>64</v>
      </c>
      <c r="P18" t="s">
        <v>67</v>
      </c>
      <c r="Q18" t="str">
        <f t="shared" si="1"/>
        <v>diagnose firewall iprope lookup 10.196.64.63 3389 10.201.1.22 3389 tcp E2-EH-VPN</v>
      </c>
    </row>
    <row r="19" spans="1:17" x14ac:dyDescent="0.3">
      <c r="A19" t="s">
        <v>12</v>
      </c>
      <c r="B19" t="s">
        <v>13</v>
      </c>
      <c r="C19" t="s">
        <v>46</v>
      </c>
      <c r="D19" t="s">
        <v>47</v>
      </c>
      <c r="E19" t="s">
        <v>60</v>
      </c>
      <c r="I19" t="s">
        <v>16</v>
      </c>
      <c r="J19">
        <v>135</v>
      </c>
      <c r="K19">
        <v>135</v>
      </c>
      <c r="M19" t="s">
        <v>63</v>
      </c>
      <c r="N19" t="str">
        <f t="shared" si="0"/>
        <v>get router info routing-table details 44.168.32.144 | grep -f *</v>
      </c>
      <c r="O19" t="s">
        <v>64</v>
      </c>
      <c r="P19" t="s">
        <v>65</v>
      </c>
      <c r="Q19" t="str">
        <f t="shared" si="1"/>
        <v>diagnose firewall iprope lookup 44.168.32.144 135 10.201.1.22 135 tcp E2-EH-AGN</v>
      </c>
    </row>
    <row r="20" spans="1:17" x14ac:dyDescent="0.3">
      <c r="A20" t="s">
        <v>12</v>
      </c>
      <c r="B20" t="s">
        <v>13</v>
      </c>
      <c r="C20" t="s">
        <v>48</v>
      </c>
      <c r="D20" t="s">
        <v>49</v>
      </c>
      <c r="E20" t="s">
        <v>61</v>
      </c>
      <c r="I20" t="s">
        <v>16</v>
      </c>
      <c r="J20">
        <v>3389</v>
      </c>
      <c r="K20">
        <v>3389</v>
      </c>
      <c r="M20" t="s">
        <v>63</v>
      </c>
      <c r="N20" t="str">
        <f t="shared" si="0"/>
        <v>get router info routing-table details 10.196.17.160 | grep -f *</v>
      </c>
      <c r="O20" t="s">
        <v>64</v>
      </c>
      <c r="P20" t="s">
        <v>65</v>
      </c>
      <c r="Q20" t="str">
        <f t="shared" si="1"/>
        <v>diagnose firewall iprope lookup 10.196.17.160 3389 10.201.1.22 3389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2C1F-F97E-4476-9CE7-BD18F8252E9E}">
  <dimension ref="A1:A58"/>
  <sheetViews>
    <sheetView workbookViewId="0">
      <selection sqref="A1:A1048576"/>
    </sheetView>
  </sheetViews>
  <sheetFormatPr defaultRowHeight="14" x14ac:dyDescent="0.3"/>
  <cols>
    <col min="1" max="1" width="100.5" bestFit="1" customWidth="1"/>
  </cols>
  <sheetData>
    <row r="1" spans="1:1" x14ac:dyDescent="0.3">
      <c r="A1" t="s">
        <v>69</v>
      </c>
    </row>
    <row r="2" spans="1:1" x14ac:dyDescent="0.3">
      <c r="A2" t="s">
        <v>70</v>
      </c>
    </row>
    <row r="4" spans="1:1" x14ac:dyDescent="0.3">
      <c r="A4" t="s">
        <v>71</v>
      </c>
    </row>
    <row r="5" spans="1:1" x14ac:dyDescent="0.3">
      <c r="A5" t="s">
        <v>72</v>
      </c>
    </row>
    <row r="7" spans="1:1" x14ac:dyDescent="0.3">
      <c r="A7" t="s">
        <v>73</v>
      </c>
    </row>
    <row r="8" spans="1:1" x14ac:dyDescent="0.3">
      <c r="A8" t="s">
        <v>74</v>
      </c>
    </row>
    <row r="10" spans="1:1" x14ac:dyDescent="0.3">
      <c r="A10" t="s">
        <v>75</v>
      </c>
    </row>
    <row r="11" spans="1:1" x14ac:dyDescent="0.3">
      <c r="A11" t="s">
        <v>76</v>
      </c>
    </row>
    <row r="13" spans="1:1" x14ac:dyDescent="0.3">
      <c r="A13" t="s">
        <v>77</v>
      </c>
    </row>
    <row r="14" spans="1:1" x14ac:dyDescent="0.3">
      <c r="A14" t="s">
        <v>78</v>
      </c>
    </row>
    <row r="16" spans="1:1" x14ac:dyDescent="0.3">
      <c r="A16" t="s">
        <v>79</v>
      </c>
    </row>
    <row r="17" spans="1:1" x14ac:dyDescent="0.3">
      <c r="A17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2" spans="1:1" x14ac:dyDescent="0.3">
      <c r="A22" t="s">
        <v>83</v>
      </c>
    </row>
    <row r="23" spans="1:1" x14ac:dyDescent="0.3">
      <c r="A23" t="s">
        <v>84</v>
      </c>
    </row>
    <row r="25" spans="1:1" x14ac:dyDescent="0.3">
      <c r="A25" t="s">
        <v>85</v>
      </c>
    </row>
    <row r="26" spans="1:1" x14ac:dyDescent="0.3">
      <c r="A26" t="s">
        <v>86</v>
      </c>
    </row>
    <row r="28" spans="1:1" x14ac:dyDescent="0.3">
      <c r="A28" t="s">
        <v>87</v>
      </c>
    </row>
    <row r="29" spans="1:1" x14ac:dyDescent="0.3">
      <c r="A29" t="s">
        <v>88</v>
      </c>
    </row>
    <row r="31" spans="1:1" x14ac:dyDescent="0.3">
      <c r="A31" t="s">
        <v>89</v>
      </c>
    </row>
    <row r="32" spans="1:1" x14ac:dyDescent="0.3">
      <c r="A32" t="s">
        <v>90</v>
      </c>
    </row>
    <row r="34" spans="1:1" x14ac:dyDescent="0.3">
      <c r="A34" t="s">
        <v>91</v>
      </c>
    </row>
    <row r="35" spans="1:1" x14ac:dyDescent="0.3">
      <c r="A35" t="s">
        <v>92</v>
      </c>
    </row>
    <row r="37" spans="1:1" x14ac:dyDescent="0.3">
      <c r="A37" t="s">
        <v>93</v>
      </c>
    </row>
    <row r="38" spans="1:1" x14ac:dyDescent="0.3">
      <c r="A38" t="s">
        <v>94</v>
      </c>
    </row>
    <row r="40" spans="1:1" x14ac:dyDescent="0.3">
      <c r="A40" t="s">
        <v>95</v>
      </c>
    </row>
    <row r="41" spans="1:1" x14ac:dyDescent="0.3">
      <c r="A41" t="s">
        <v>96</v>
      </c>
    </row>
    <row r="43" spans="1:1" x14ac:dyDescent="0.3">
      <c r="A43" t="s">
        <v>97</v>
      </c>
    </row>
    <row r="44" spans="1:1" x14ac:dyDescent="0.3">
      <c r="A44" t="s">
        <v>98</v>
      </c>
    </row>
    <row r="46" spans="1:1" x14ac:dyDescent="0.3">
      <c r="A46" t="s">
        <v>99</v>
      </c>
    </row>
    <row r="47" spans="1:1" x14ac:dyDescent="0.3">
      <c r="A47" t="s">
        <v>100</v>
      </c>
    </row>
    <row r="49" spans="1:1" x14ac:dyDescent="0.3">
      <c r="A49" t="s">
        <v>101</v>
      </c>
    </row>
    <row r="50" spans="1:1" x14ac:dyDescent="0.3">
      <c r="A50" t="s">
        <v>102</v>
      </c>
    </row>
    <row r="52" spans="1:1" x14ac:dyDescent="0.3">
      <c r="A52" t="s">
        <v>103</v>
      </c>
    </row>
    <row r="53" spans="1:1" x14ac:dyDescent="0.3">
      <c r="A53" t="s">
        <v>104</v>
      </c>
    </row>
    <row r="55" spans="1:1" x14ac:dyDescent="0.3">
      <c r="A55" t="s">
        <v>105</v>
      </c>
    </row>
    <row r="56" spans="1:1" x14ac:dyDescent="0.3">
      <c r="A56" t="s">
        <v>106</v>
      </c>
    </row>
    <row r="58" spans="1:1" x14ac:dyDescent="0.3">
      <c r="A5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10.201.1.22_ads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2025-12-15T11:08:58Z</dcterms:created>
  <dcterms:modified xsi:type="dcterms:W3CDTF">2025-12-15T13:42:20Z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2025-12-15T11:08:58Z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36b86564-7692-4f50-ba02-4ad52dc9a8fd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