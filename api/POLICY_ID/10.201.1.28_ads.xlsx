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wade\Desktop\New folder\"/>
    </mc:Choice>
  </mc:AlternateContent>
  <xr:revisionPtr revIDLastSave="0" documentId="13_ncr:1_{8A48F33E-ED91-4E1F-8766-94D00B02AEF1}" xr6:coauthVersionLast="47" xr6:coauthVersionMax="47" xr10:uidLastSave="{00000000-0000-0000-0000-000000000000}"/>
  <bookViews>
    <workbookView xWindow="-110" yWindow="-110" windowWidth="19420" windowHeight="11500" activeTab="1" xr2:uid="{74AF3897-5F94-4CE9-8453-E324FDD15579}"/>
  </bookViews>
  <sheets>
    <sheet name="10.201.1.28_ad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2" i="1"/>
</calcChain>
</file>

<file path=xl/sharedStrings.xml><?xml version="1.0" encoding="utf-8"?>
<sst xmlns="http://schemas.openxmlformats.org/spreadsheetml/2006/main" count="953" uniqueCount="394">
  <si>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</si>
  <si>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</si>
  <si>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</si>
  <si>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</si>
  <si>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</si>
  <si>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</si>
  <si>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</si>
  <si>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</si>
  <si>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</si>
  <si>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</si>
  <si>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</si>
  <si>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</si>
  <si>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</si>
  <si>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</si>
  <si>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</si>
  <si>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10.201.29.84</t>
  </si>
  <si>
    <t>tcp</t>
  </si>
  <si>
    <t>ads-rule-10002</t>
  </si>
  <si>
    <t>ads-rule-10007</t>
  </si>
  <si>
    <t>From ADS data. Allow from 10.201.29.49</t>
  </si>
  <si>
    <t>ads-rule-10008</t>
  </si>
  <si>
    <t>ads-rule-10013</t>
  </si>
  <si>
    <t>From ADS data. Allow from 10.201.29.80</t>
  </si>
  <si>
    <t>ads-rule-10014</t>
  </si>
  <si>
    <t>ads-rule-10019</t>
  </si>
  <si>
    <t>From ADS data. Allow from 10.201.29.125</t>
  </si>
  <si>
    <t>ads-rule-10020</t>
  </si>
  <si>
    <t>ads-rule-10021</t>
  </si>
  <si>
    <t>From ADS data. Allow from 10.201.29.19</t>
  </si>
  <si>
    <t>ads-rule-10022</t>
  </si>
  <si>
    <t>ads-rule-10023</t>
  </si>
  <si>
    <t>From ADS data. Allow from 10.222.65.159</t>
  </si>
  <si>
    <t>ads-rule-10024</t>
  </si>
  <si>
    <t>From ADS data. Allow from 10.201.29.17</t>
  </si>
  <si>
    <t>ads-rule-10025</t>
  </si>
  <si>
    <t>ads-rule-10026</t>
  </si>
  <si>
    <t>From ADS data. Allow from 10.201.29.83</t>
  </si>
  <si>
    <t>ads-rule-10027</t>
  </si>
  <si>
    <t>ads-rule-10032</t>
  </si>
  <si>
    <t>From ADS data. Allow from 10.201.29.146</t>
  </si>
  <si>
    <t>ads-rule-10033</t>
  </si>
  <si>
    <t>ads-rule-10034</t>
  </si>
  <si>
    <t>From ADS data. Allow from 10.222.128.24</t>
  </si>
  <si>
    <t>ads-rule-10035</t>
  </si>
  <si>
    <t>From ADS data. Allow from 10.222.64.198</t>
  </si>
  <si>
    <t>ads-rule-10036</t>
  </si>
  <si>
    <t>ads-rule-10037</t>
  </si>
  <si>
    <t>From ADS data. Allow from 44.119.0.71</t>
  </si>
  <si>
    <t>ads-rule-10038</t>
  </si>
  <si>
    <t>ads-rule-10041</t>
  </si>
  <si>
    <t>From ADS data. Allow from 10.201.29.16</t>
  </si>
  <si>
    <t>ads-rule-10042</t>
  </si>
  <si>
    <t>ads-rule-10043</t>
  </si>
  <si>
    <t>From ADS data. Allow from 10.201.29.75</t>
  </si>
  <si>
    <t>ads-rule-10044</t>
  </si>
  <si>
    <t>From ADS data. Allow from 10.222.64.173</t>
  </si>
  <si>
    <t>ads-rule-10045</t>
  </si>
  <si>
    <t>From ADS data. Allow from 10.222.128.120</t>
  </si>
  <si>
    <t>ads-rule-10046</t>
  </si>
  <si>
    <t>From ADS data. Allow from 10.201.29.21</t>
  </si>
  <si>
    <t>ads-rule-10047</t>
  </si>
  <si>
    <t>ads-rule-10052</t>
  </si>
  <si>
    <t>From ADS data. Allow from 10.201.29.137</t>
  </si>
  <si>
    <t>ads-rule-10053</t>
  </si>
  <si>
    <t>ads-rule-10054</t>
  </si>
  <si>
    <t>From ADS data. Allow from 10.222.131.229</t>
  </si>
  <si>
    <t>ads-rule-10055</t>
  </si>
  <si>
    <t>From ADS data. Allow from 10.201.29.15</t>
  </si>
  <si>
    <t>ads-rule-10056</t>
  </si>
  <si>
    <t>ads-rule-10057</t>
  </si>
  <si>
    <t>From ADS data. Allow from 10.201.29.79</t>
  </si>
  <si>
    <t>ads-rule-10058</t>
  </si>
  <si>
    <t>ads-rule-10063</t>
  </si>
  <si>
    <t>From ADS data. Allow from 10.222.64.105</t>
  </si>
  <si>
    <t>ads-rule-10064</t>
  </si>
  <si>
    <t>From ADS data. Allow from 10.201.29.35</t>
  </si>
  <si>
    <t>ads-rule-10065</t>
  </si>
  <si>
    <t>ads-rule-10070</t>
  </si>
  <si>
    <t>From ADS data. Allow from 10.222.210.166</t>
  </si>
  <si>
    <t>ads-rule-10073</t>
  </si>
  <si>
    <t>From ADS data. Allow from 10.222.129.54</t>
  </si>
  <si>
    <t>ads-rule-10074</t>
  </si>
  <si>
    <t>From ADS data. Allow from 10.199.102.180</t>
  </si>
  <si>
    <t>ads-rule-10075</t>
  </si>
  <si>
    <t>ads-rule-10077</t>
  </si>
  <si>
    <t>From ADS data. Allow from 10.196.65.49</t>
  </si>
  <si>
    <t>ads-rule-10078</t>
  </si>
  <si>
    <t>From ADS data. Allow from 10.222.73.41</t>
  </si>
  <si>
    <t>ads-rule-10079</t>
  </si>
  <si>
    <t>From ADS data. Allow from 10.201.29.10</t>
  </si>
  <si>
    <t>ads-rule-10080</t>
  </si>
  <si>
    <t>ads-rule-10081</t>
  </si>
  <si>
    <t>From ADS data. Allow from 10.222.64.106</t>
  </si>
  <si>
    <t>ads-rule-10082</t>
  </si>
  <si>
    <t>From ADS data. Allow from 10.222.129.102</t>
  </si>
  <si>
    <t>ads-rule-10083</t>
  </si>
  <si>
    <t>From ADS data. Allow from 10.17.42.6</t>
  </si>
  <si>
    <t>ads-rule-10084</t>
  </si>
  <si>
    <t>From ADS data. Allow from 10.72.42.5</t>
  </si>
  <si>
    <t>ads-rule-10087</t>
  </si>
  <si>
    <t>From ADS data. Allow from 10.199.99.169</t>
  </si>
  <si>
    <t>ads-rule-10088</t>
  </si>
  <si>
    <t>ads-rule-10089</t>
  </si>
  <si>
    <t>From ADS data. Allow from 10.201.29.18</t>
  </si>
  <si>
    <t>ads-rule-10090</t>
  </si>
  <si>
    <t>ads-rule-10091</t>
  </si>
  <si>
    <t>From ADS data. Allow from 10.199.99.217</t>
  </si>
  <si>
    <t>ads-rule-10094</t>
  </si>
  <si>
    <t>ads-rule-10095</t>
  </si>
  <si>
    <t>ads-rule-10096</t>
  </si>
  <si>
    <t>From ADS data. Allow from 10.222.64.149</t>
  </si>
  <si>
    <t>ads-rule-10097</t>
  </si>
  <si>
    <t>From ADS data. Allow from 10.222.133.232</t>
  </si>
  <si>
    <t>ads-rule-10098</t>
  </si>
  <si>
    <t>From ADS data. Allow from 10.222.65.208</t>
  </si>
  <si>
    <t>ads-rule-10099</t>
  </si>
  <si>
    <t>From ADS data. Allow from 10.199.99.40</t>
  </si>
  <si>
    <t>ads-rule-10100</t>
  </si>
  <si>
    <t>From ADS data. Allow from 10.199.102.183</t>
  </si>
  <si>
    <t>ads-rule-10101</t>
  </si>
  <si>
    <t>From ADS data. Allow from 10.222.128.78</t>
  </si>
  <si>
    <t>ads-rule-10102</t>
  </si>
  <si>
    <t>From ADS data. Allow from 10.201.29.82</t>
  </si>
  <si>
    <t>ads-rule-10103</t>
  </si>
  <si>
    <t>ads-rule-10108</t>
  </si>
  <si>
    <t>From ADS data. Allow from 10.222.128.59</t>
  </si>
  <si>
    <t>ads-rule-10109</t>
  </si>
  <si>
    <t>From ADS data. Allow from 10.222.64.71</t>
  </si>
  <si>
    <t>ads-rule-10110</t>
  </si>
  <si>
    <t>From ADS data. Allow from 10.222.65.106</t>
  </si>
  <si>
    <t>ads-rule-10111</t>
  </si>
  <si>
    <t>From ADS data. Allow from 10.222.72.247</t>
  </si>
  <si>
    <t>ads-rule-10112</t>
  </si>
  <si>
    <t>From ADS data. Allow from 10.222.64.77</t>
  </si>
  <si>
    <t>ads-rule-10113</t>
  </si>
  <si>
    <t>From ADS data. Allow from 10.199.99.150</t>
  </si>
  <si>
    <t>ads-rule-10115</t>
  </si>
  <si>
    <t>ads-rule-10116</t>
  </si>
  <si>
    <t>From ADS data. Allow from 10.222.128.3</t>
  </si>
  <si>
    <t>ads-rule-10117</t>
  </si>
  <si>
    <t>ads-rule-10118</t>
  </si>
  <si>
    <t>From ADS data. Allow from 10.222.131.84</t>
  </si>
  <si>
    <t>ads-rule-10119</t>
  </si>
  <si>
    <t>From ADS data. Allow from 10.222.64.110</t>
  </si>
  <si>
    <t>ads-rule-10120</t>
  </si>
  <si>
    <t>ads-rule-10121</t>
  </si>
  <si>
    <t>From ADS data. Allow from 10.222.133.237</t>
  </si>
  <si>
    <t>ads-rule-10122</t>
  </si>
  <si>
    <t>ads-rule-10123</t>
  </si>
  <si>
    <t>From ADS data. Allow from 10.222.129.53</t>
  </si>
  <si>
    <t>ads-rule-10124</t>
  </si>
  <si>
    <t>From ADS data. Allow from 10.199.103.191</t>
  </si>
  <si>
    <t>ads-rule-10125</t>
  </si>
  <si>
    <t>From ADS data. Allow from 10.222.129.104</t>
  </si>
  <si>
    <t>ads-rule-10126</t>
  </si>
  <si>
    <t>From ADS data. Allow from 10.222.128.43</t>
  </si>
  <si>
    <t>ads-rule-10127</t>
  </si>
  <si>
    <t>From ADS data. Allow from 10.222.71.212</t>
  </si>
  <si>
    <t>10.201.29.84</t>
  </si>
  <si>
    <t>10.201.29.49</t>
  </si>
  <si>
    <t>10.201.29.80</t>
  </si>
  <si>
    <t>10.201.29.125</t>
  </si>
  <si>
    <t>10.201.29.19</t>
  </si>
  <si>
    <t>10.222.65.159</t>
  </si>
  <si>
    <t>10.201.29.17</t>
  </si>
  <si>
    <t>10.201.29.83</t>
  </si>
  <si>
    <t>10.201.29.146</t>
  </si>
  <si>
    <t>10.222.128.24</t>
  </si>
  <si>
    <t>10.222.64.198</t>
  </si>
  <si>
    <t>44.119.0.71</t>
  </si>
  <si>
    <t>10.201.29.16</t>
  </si>
  <si>
    <t>10.201.29.75</t>
  </si>
  <si>
    <t>10.222.64.173</t>
  </si>
  <si>
    <t>10.222.128.120</t>
  </si>
  <si>
    <t>10.201.29.21</t>
  </si>
  <si>
    <t>10.201.29.137</t>
  </si>
  <si>
    <t>10.222.131.229</t>
  </si>
  <si>
    <t>10.201.29.15</t>
  </si>
  <si>
    <t>10.201.29.79</t>
  </si>
  <si>
    <t>10.222.64.105</t>
  </si>
  <si>
    <t>10.201.29.35</t>
  </si>
  <si>
    <t>10.222.210.166</t>
  </si>
  <si>
    <t>10.222.129.54</t>
  </si>
  <si>
    <t>10.199.102.180</t>
  </si>
  <si>
    <t>10.196.65.49</t>
  </si>
  <si>
    <t>10.222.73.41</t>
  </si>
  <si>
    <t>10.201.29.10</t>
  </si>
  <si>
    <t>10.222.64.106</t>
  </si>
  <si>
    <t>10.222.129.102</t>
  </si>
  <si>
    <t>10.17.42.6</t>
  </si>
  <si>
    <t>10.72.42.5</t>
  </si>
  <si>
    <t>10.199.99.169</t>
  </si>
  <si>
    <t>10.201.29.18</t>
  </si>
  <si>
    <t>10.199.99.217</t>
  </si>
  <si>
    <t>10.222.64.149</t>
  </si>
  <si>
    <t>10.222.133.232</t>
  </si>
  <si>
    <t>10.222.65.208</t>
  </si>
  <si>
    <t>10.199.99.40</t>
  </si>
  <si>
    <t>10.199.102.183</t>
  </si>
  <si>
    <t>10.222.128.78</t>
  </si>
  <si>
    <t>10.201.29.82</t>
  </si>
  <si>
    <t>10.222.128.59</t>
  </si>
  <si>
    <t>10.222.64.71</t>
  </si>
  <si>
    <t>10.222.65.106</t>
  </si>
  <si>
    <t>10.222.72.247</t>
  </si>
  <si>
    <t>10.222.64.77</t>
  </si>
  <si>
    <t>10.199.99.150</t>
  </si>
  <si>
    <t>10.222.128.3</t>
  </si>
  <si>
    <t>10.222.131.84</t>
  </si>
  <si>
    <t>10.222.64.110</t>
  </si>
  <si>
    <t>10.222.133.237</t>
  </si>
  <si>
    <t>10.222.129.53</t>
  </si>
  <si>
    <t>10.199.103.191</t>
  </si>
  <si>
    <t>10.222.129.104</t>
  </si>
  <si>
    <t>10.222.128.43</t>
  </si>
  <si>
    <t>10.222.71.212</t>
  </si>
  <si>
    <t>aa</t>
  </si>
  <si>
    <t>get router info routing-table details</t>
  </si>
  <si>
    <t>diagnose firewall iprope lookup</t>
  </si>
  <si>
    <t>E2-EH-CTX-APPS</t>
  </si>
  <si>
    <t>EH-VDI</t>
  </si>
  <si>
    <t>E2-EH-AGN</t>
  </si>
  <si>
    <t>E2-EH-VPN</t>
  </si>
  <si>
    <t>FR-E2-FW-EH-1-FNET $ diagnose firewall iprope lookup 10.201.29.84 8080 10.201.1.28 8080 tcp E2-EH-CTX-APPS</t>
  </si>
  <si>
    <t>&lt;src [10.201.29.84-8080] dst [10.201.1.28-8080] proto tcp dev E2-EH-CTX-APPS&gt; matches policy id: 8974</t>
  </si>
  <si>
    <t>FR-E2-FW-EH-1-FNET $ diagnose firewall iprope lookup 10.201.29.84 8443 10.201.1.28 8443 tcp E2-EH-CTX-APPS</t>
  </si>
  <si>
    <t>&lt;src [10.201.29.84-8443] dst [10.201.1.28-8443] proto tcp dev E2-EH-CTX-APPS&gt; matches policy id: 8974</t>
  </si>
  <si>
    <t>FR-E2-FW-EH-1-FNET $ diagnose firewall iprope lookup 10.201.29.49 8080 10.201.1.28 8080 tcp E2-EH-CTX-APPS</t>
  </si>
  <si>
    <t>&lt;src [10.201.29.49-8080] dst [10.201.1.28-8080] proto tcp dev E2-EH-CTX-APPS&gt; matches policy id: 8974</t>
  </si>
  <si>
    <t>FR-E2-FW-EH-1-FNET $ diagnose firewall iprope lookup 10.201.29.49 8443 10.201.1.28 8443 tcp E2-EH-CTX-APPS</t>
  </si>
  <si>
    <t>&lt;src [10.201.29.49-8443] dst [10.201.1.28-8443] proto tcp dev E2-EH-CTX-APPS&gt; matches policy id: 8974</t>
  </si>
  <si>
    <t>FR-E2-FW-EH-1-FNET $ diagnose firewall iprope lookup 10.201.29.80 8080 10.201.1.28 8080 tcp E2-EH-CTX-APPS</t>
  </si>
  <si>
    <t>&lt;src [10.201.29.80-8080] dst [10.201.1.28-8080] proto tcp dev E2-EH-CTX-APPS&gt; matches policy id: 8974</t>
  </si>
  <si>
    <t>FR-E2-FW-EH-1-FNET $ diagnose firewall iprope lookup 10.201.29.80 8443 10.201.1.28 8443 tcp E2-EH-CTX-APPS</t>
  </si>
  <si>
    <t>&lt;src [10.201.29.80-8443] dst [10.201.1.28-8443] proto tcp dev E2-EH-CTX-APPS&gt; matches policy id: 8974</t>
  </si>
  <si>
    <t>FR-E2-FW-EH-1-FNET $ diagnose firewall iprope lookup 10.201.29.125 8080 10.201.1.28 8080 tcp E2-EH-CTX-APPS</t>
  </si>
  <si>
    <t>&lt;src [10.201.29.125-8080] dst [10.201.1.28-8080] proto tcp dev E2-EH-CTX-APPS&gt; matches policy id: 8974</t>
  </si>
  <si>
    <t>FR-E2-FW-EH-1-FNET $ diagnose firewall iprope lookup 10.201.29.125 8443 10.201.1.28 8443 tcp E2-EH-CTX-APPS</t>
  </si>
  <si>
    <t>&lt;src [10.201.29.125-8443] dst [10.201.1.28-8443] proto tcp dev E2-EH-CTX-APPS&gt; matches policy id: 8974</t>
  </si>
  <si>
    <t>FR-E2-FW-EH-1-FNET $ diagnose firewall iprope lookup 10.201.29.19 8443 10.201.1.28 8443 tcp E2-EH-CTX-APPS</t>
  </si>
  <si>
    <t>&lt;src [10.201.29.19-8443] dst [10.201.1.28-8443] proto tcp dev E2-EH-CTX-APPS&gt; matches policy id: 8974</t>
  </si>
  <si>
    <t>FR-E2-FW-EH-1-FNET $ diagnose firewall iprope lookup 10.201.29.19 8080 10.201.1.28 8080 tcp E2-EH-CTX-APPS</t>
  </si>
  <si>
    <t>&lt;src [10.201.29.19-8080] dst [10.201.1.28-8080] proto tcp dev E2-EH-CTX-APPS&gt; matches policy id: 8974</t>
  </si>
  <si>
    <t>FR-E2-FW-EH-1-FNET $ diagnose firewall iprope lookup 10.222.65.159 8443 10.201.1.28 8443 tcp EH-VDI</t>
  </si>
  <si>
    <t>&lt;src [10.222.65.159-8443] dst [10.201.1.28-8443] proto tcp dev EH-VDI&gt; matches policy id: 4151</t>
  </si>
  <si>
    <t>FR-E2-FW-EH-1-FNET $ diagnose firewall iprope lookup 10.201.29.17 8080 10.201.1.28 8080 tcp E2-EH-CTX-APPS</t>
  </si>
  <si>
    <t>&lt;src [10.201.29.17-8080] dst [10.201.1.28-8080] proto tcp dev E2-EH-CTX-APPS&gt; matches policy id: 8974</t>
  </si>
  <si>
    <t>FR-E2-FW-EH-1-FNET $ diagnose firewall iprope lookup 10.201.29.17 8443 10.201.1.28 8443 tcp E2-EH-CTX-APPS</t>
  </si>
  <si>
    <t>&lt;src [10.201.29.17-8443] dst [10.201.1.28-8443] proto tcp dev E2-EH-CTX-APPS&gt; matches policy id: 8974</t>
  </si>
  <si>
    <t>FR-E2-FW-EH-1-FNET $ diagnose firewall iprope lookup 10.201.29.83 8080 10.201.1.28 8080 tcp E2-EH-CTX-APPS</t>
  </si>
  <si>
    <t>&lt;src [10.201.29.83-8080] dst [10.201.1.28-8080] proto tcp dev E2-EH-CTX-APPS&gt; matches policy id: 8974</t>
  </si>
  <si>
    <t>FR-E2-FW-EH-1-FNET $ diagnose firewall iprope lookup 10.201.29.83 8443 10.201.1.28 8443 tcp E2-EH-CTX-APPS</t>
  </si>
  <si>
    <t>&lt;src [10.201.29.83-8443] dst [10.201.1.28-8443] proto tcp dev E2-EH-CTX-APPS&gt; matches policy id: 8974</t>
  </si>
  <si>
    <t>FR-E2-FW-EH-1-FNET $ diagnose firewall iprope lookup 10.201.29.146 8080 10.201.1.28 8080 tcp E2-EH-CTX-APPS</t>
  </si>
  <si>
    <t>&lt;src [10.201.29.146-8080] dst [10.201.1.28-8080] proto tcp dev E2-EH-CTX-APPS&gt; matches policy id: 8974</t>
  </si>
  <si>
    <t>FR-E2-FW-EH-1-FNET $ diagnose firewall iprope lookup 10.201.29.146 8443 10.201.1.28 8443 tcp E2-EH-CTX-APPS</t>
  </si>
  <si>
    <t>&lt;src [10.201.29.146-8443] dst [10.201.1.28-8443] proto tcp dev E2-EH-CTX-APPS&gt; matches policy id: 8974</t>
  </si>
  <si>
    <t>FR-E2-FW-EH-1-FNET $ diagnose firewall iprope lookup 10.222.128.24 8443 10.201.1.28 8443 tcp E2-EH-AGN</t>
  </si>
  <si>
    <t>&lt;src [10.222.128.24-8443] dst [10.201.1.28-8443] proto tcp dev E2-EH-AGN&gt; matches policy id: 4151</t>
  </si>
  <si>
    <t>FR-E2-FW-EH-1-FNET $ diagnose firewall iprope lookup 10.222.64.198 8443 10.201.1.28 8443 tcp EH-VDI</t>
  </si>
  <si>
    <t>&lt;src [10.222.64.198-8443] dst [10.201.1.28-8443] proto tcp dev EH-VDI&gt; matches policy id: 4151</t>
  </si>
  <si>
    <t>FR-E2-FW-EH-1-FNET $ diagnose firewall iprope lookup 10.222.64.198 8080 10.201.1.28 8080 tcp EH-VDI</t>
  </si>
  <si>
    <t>&lt;src [10.222.64.198-8080] dst [10.201.1.28-8080] proto tcp dev EH-VDI&gt; matches policy id: 4151</t>
  </si>
  <si>
    <t>FR-E2-FW-EH-1-FNET $ diagnose firewall iprope lookup 44.119.0.71 8080 10.201.1.28 8080 tcp E2-EH-AGN</t>
  </si>
  <si>
    <t>&lt;src [44.119.0.71-8080] dst [10.201.1.28-8080] proto tcp dev E2-EH-AGN&gt; matches policy id: 8184</t>
  </si>
  <si>
    <t>FR-E2-FW-EH-1-FNET $ diagnose firewall iprope lookup 44.119.0.71 8443 10.201.1.28 8443 tcp E2-EH-AGN</t>
  </si>
  <si>
    <t>&lt;src [44.119.0.71-8443] dst [10.201.1.28-8443] proto tcp dev E2-EH-AGN&gt; matches policy id: 8184</t>
  </si>
  <si>
    <t>FR-E2-FW-EH-1-FNET $ diagnose firewall iprope lookup 10.201.29.16 8080 10.201.1.28 8080 tcp E2-EH-CTX-APPS</t>
  </si>
  <si>
    <t>&lt;src [10.201.29.16-8080] dst [10.201.1.28-8080] proto tcp dev E2-EH-CTX-APPS&gt; matches policy id: 8974</t>
  </si>
  <si>
    <t>FR-E2-FW-EH-1-FNET $ diagnose firewall iprope lookup 10.201.29.16 8443 10.201.1.28 8443 tcp E2-EH-CTX-APPS</t>
  </si>
  <si>
    <t>&lt;src [10.201.29.16-8443] dst [10.201.1.28-8443] proto tcp dev E2-EH-CTX-APPS&gt; matches policy id: 8974</t>
  </si>
  <si>
    <t>FR-E2-FW-EH-1-FNET $ diagnose firewall iprope lookup 10.201.29.75 8080 10.201.1.28 8080 tcp E2-EH-CTX-APPS</t>
  </si>
  <si>
    <t>&lt;src [10.201.29.75-8080] dst [10.201.1.28-8080] proto tcp dev E2-EH-CTX-APPS&gt; matches policy id: 8974</t>
  </si>
  <si>
    <t>FR-E2-FW-EH-1-FNET $ diagnose firewall iprope lookup 10.222.64.173 8443 10.201.1.28 8443 tcp EH-VDI</t>
  </si>
  <si>
    <t>&lt;src [10.222.64.173-8443] dst [10.201.1.28-8443] proto tcp dev EH-VDI&gt; matches policy id: 4151</t>
  </si>
  <si>
    <t>FR-E2-FW-EH-1-FNET $ diagnose firewall iprope lookup 10.222.128.120 8443 10.201.1.28 8443 tcp E2-EH-AGN</t>
  </si>
  <si>
    <t>&lt;src [10.222.128.120-8443] dst [10.201.1.28-8443] proto tcp dev E2-EH-AGN&gt; matches policy id: 4151</t>
  </si>
  <si>
    <t>FR-E2-FW-EH-1-FNET $ diagnose firewall iprope lookup 10.201.29.21 8080 10.201.1.28 8080 tcp E2-EH-CTX-APPS</t>
  </si>
  <si>
    <t>&lt;src [10.201.29.21-8080] dst [10.201.1.28-8080] proto tcp dev E2-EH-CTX-APPS&gt; matches policy id: 8974</t>
  </si>
  <si>
    <t>FR-E2-FW-EH-1-FNET $ diagnose firewall iprope lookup 10.201.29.21 8443 10.201.1.28 8443 tcp E2-EH-CTX-APPS</t>
  </si>
  <si>
    <t>&lt;src [10.201.29.21-8443] dst [10.201.1.28-8443] proto tcp dev E2-EH-CTX-APPS&gt; matches policy id: 8974</t>
  </si>
  <si>
    <t>FR-E2-FW-EH-1-FNET $ diagnose firewall iprope lookup 10.201.29.137 8080 10.201.1.28 8080 tcp E2-EH-CTX-APPS</t>
  </si>
  <si>
    <t>&lt;src [10.201.29.137-8080] dst [10.201.1.28-8080] proto tcp dev E2-EH-CTX-APPS&gt; matches policy id: 8974</t>
  </si>
  <si>
    <t>FR-E2-FW-EH-1-FNET $ diagnose firewall iprope lookup 10.201.29.137 8443 10.201.1.28 8443 tcp E2-EH-CTX-APPS</t>
  </si>
  <si>
    <t>&lt;src [10.201.29.137-8443] dst [10.201.1.28-8443] proto tcp dev E2-EH-CTX-APPS&gt; matches policy id: 8974</t>
  </si>
  <si>
    <t>FR-E2-FW-EH-1-FNET $ diagnose firewall iprope lookup 10.222.131.229 8443 10.201.1.28 8443 tcp E2-EH-AGN</t>
  </si>
  <si>
    <t>&lt;src [10.222.131.229-8443] dst [10.201.1.28-8443] proto tcp dev E2-EH-AGN&gt; matches policy id: 4151</t>
  </si>
  <si>
    <t>FR-E2-FW-EH-1-FNET $ diagnose firewall iprope lookup 10.201.29.15 8080 10.201.1.28 8080 tcp E2-EH-CTX-APPS</t>
  </si>
  <si>
    <t>&lt;src [10.201.29.15-8080] dst [10.201.1.28-8080] proto tcp dev E2-EH-CTX-APPS&gt; matches policy id: 8974</t>
  </si>
  <si>
    <t>FR-E2-FW-EH-1-FNET $ diagnose firewall iprope lookup 10.201.29.15 8443 10.201.1.28 8443 tcp E2-EH-CTX-APPS</t>
  </si>
  <si>
    <t>&lt;src [10.201.29.15-8443] dst [10.201.1.28-8443] proto tcp dev E2-EH-CTX-APPS&gt; matches policy id: 8974</t>
  </si>
  <si>
    <t>FR-E2-FW-EH-1-FNET $ diagnose firewall iprope lookup 10.201.29.79 8443 10.201.1.28 8443 tcp E2-EH-CTX-APPS</t>
  </si>
  <si>
    <t>&lt;src [10.201.29.79-8443] dst [10.201.1.28-8443] proto tcp dev E2-EH-CTX-APPS&gt; matches policy id: 8974</t>
  </si>
  <si>
    <t>FR-E2-FW-EH-1-FNET $ diagnose firewall iprope lookup 10.201.29.79 8080 10.201.1.28 8080 tcp E2-EH-CTX-APPS</t>
  </si>
  <si>
    <t>&lt;src [10.201.29.79-8080] dst [10.201.1.28-8080] proto tcp dev E2-EH-CTX-APPS&gt; matches policy id: 8974</t>
  </si>
  <si>
    <t>FR-E2-FW-EH-1-FNET $ diagnose firewall iprope lookup 10.222.64.105 8443 10.201.1.28 8443 tcp EH-VDI</t>
  </si>
  <si>
    <t>&lt;src [10.222.64.105-8443] dst [10.201.1.28-8443] proto tcp dev EH-VDI&gt; matches policy id: 4151</t>
  </si>
  <si>
    <t>FR-E2-FW-EH-1-FNET $ diagnose firewall iprope lookup 10.201.29.35 8443 10.201.1.28 8443 tcp E2-EH-CTX-APPS</t>
  </si>
  <si>
    <t>&lt;src [10.201.29.35-8443] dst [10.201.1.28-8443] proto tcp dev E2-EH-CTX-APPS&gt; matches policy id: 8974</t>
  </si>
  <si>
    <t>FR-E2-FW-EH-1-FNET $ diagnose firewall iprope lookup 10.201.29.35 8080 10.201.1.28 8080 tcp E2-EH-CTX-APPS</t>
  </si>
  <si>
    <t>&lt;src [10.201.29.35-8080] dst [10.201.1.28-8080] proto tcp dev E2-EH-CTX-APPS&gt; matches policy id: 8974</t>
  </si>
  <si>
    <t>FR-E2-FW-EH-1-FNET $ diagnose firewall iprope lookup 10.222.210.166 22 10.201.1.28 22 tcp E2-EH-VPN</t>
  </si>
  <si>
    <t>&lt;src [10.222.210.166-22] dst [10.201.1.28-22] proto tcp dev E2-EH-VPN&gt; matches policy id: 5189</t>
  </si>
  <si>
    <t>FR-E2-FW-EH-1-FNET $ diagnose firewall iprope lookup 10.222.129.54 8443 10.201.1.28 8443 tcp E2-EH-AGN</t>
  </si>
  <si>
    <t>&lt;src [10.222.129.54-8443] dst [10.201.1.28-8443] proto tcp dev E2-EH-AGN&gt; matches policy id: 4151</t>
  </si>
  <si>
    <t>FR-E2-FW-EH-1-FNET $ diagnose firewall iprope lookup 10.199.102.180 8443 10.201.1.28 8443 tcp E2-EH-AGN</t>
  </si>
  <si>
    <t>&lt;src [10.199.102.180-8443] dst [10.201.1.28-8443] proto tcp dev E2-EH-AGN&gt; matches policy id: 4151</t>
  </si>
  <si>
    <t>FR-E2-FW-EH-1-FNET $ diagnose firewall iprope lookup 10.199.102.180 22 10.201.1.28 22 tcp E2-EH-AGN</t>
  </si>
  <si>
    <t>&lt;src [10.199.102.180-22] dst [10.201.1.28-22] proto tcp dev E2-EH-AGN&gt; matches policy id: 4151</t>
  </si>
  <si>
    <t>FR-E2-FW-EH-1-FNET $ diagnose firewall iprope lookup 10.196.65.49 22 10.201.1.28 22 tcp E2-EH-VPN</t>
  </si>
  <si>
    <t>&lt;src [10.196.65.49-22] dst [10.201.1.28-22] proto tcp dev E2-EH-VPN&gt; matches policy id: 5189</t>
  </si>
  <si>
    <t>FR-E2-FW-EH-1-FNET $ diagnose firewall iprope lookup 10.222.73.41 8443 10.201.1.28 8443 tcp EH-VDI</t>
  </si>
  <si>
    <t>&lt;src [10.222.73.41-8443] dst [10.201.1.28-8443] proto tcp dev EH-VDI&gt; matches policy id: 4151</t>
  </si>
  <si>
    <t>FR-E2-FW-EH-1-FNET $ diagnose firewall iprope lookup 10.201.29.10 8080 10.201.1.28 8080 tcp E2-EH-CTX-APPS</t>
  </si>
  <si>
    <t>&lt;src [10.201.29.10-8080] dst [10.201.1.28-8080] proto tcp dev E2-EH-CTX-APPS&gt; matches policy id: 8974</t>
  </si>
  <si>
    <t>FR-E2-FW-EH-1-FNET $ diagnose firewall iprope lookup 10.201.29.10 8443 10.201.1.28 8443 tcp E2-EH-CTX-APPS</t>
  </si>
  <si>
    <t>&lt;src [10.201.29.10-8443] dst [10.201.1.28-8443] proto tcp dev E2-EH-CTX-APPS&gt; matches policy id: 8974</t>
  </si>
  <si>
    <t>FR-E2-FW-EH-1-FNET $ diagnose firewall iprope lookup 10.222.64.106 8443 10.201.1.28 8443 tcp EH-VDI</t>
  </si>
  <si>
    <t>&lt;src [10.222.64.106-8443] dst [10.201.1.28-8443] proto tcp dev EH-VDI&gt; matches policy id: 4151</t>
  </si>
  <si>
    <t>FR-E2-FW-EH-1-FNET $ diagnose firewall iprope lookup 10.222.129.102 8443 10.201.1.28 8443 tcp E2-EH-AGN</t>
  </si>
  <si>
    <t>&lt;src [10.222.129.102-8443] dst [10.201.1.28-8443] proto tcp dev E2-EH-AGN&gt; matches policy id: 4151</t>
  </si>
  <si>
    <t>FR-E2-FW-EH-1-FNET $ diagnose firewall iprope lookup 10.17.42.6 22 10.201.1.28 22 tcp E2-EH-AGN</t>
  </si>
  <si>
    <t>&lt;src [10.17.42.6-22] dst [10.201.1.28-22] proto tcp dev E2-EH-AGN&gt; matches policy id: 8870</t>
  </si>
  <si>
    <t>FR-E2-FW-EH-1-FNET $ diagnose firewall iprope lookup 10.72.42.5 22 10.201.1.28 22 tcp E2-EH-AGN</t>
  </si>
  <si>
    <t>&lt;src [10.72.42.5-22] dst [10.201.1.28-22] proto tcp dev E2-EH-AGN&gt; matches policy id: 8870</t>
  </si>
  <si>
    <t>FR-E2-FW-EH-1-FNET $ diagnose firewall iprope lookup 10.199.99.169 8443 10.201.1.28 8443 tcp E2-EH-AGN</t>
  </si>
  <si>
    <t>&lt;src [10.199.99.169-8443] dst [10.201.1.28-8443] proto tcp dev E2-EH-AGN&gt; matches policy id: 4151</t>
  </si>
  <si>
    <t>FR-E2-FW-EH-1-FNET $ diagnose firewall iprope lookup 10.199.99.169 9990 10.201.1.28 9990 tcp E2-EH-AGN</t>
  </si>
  <si>
    <t>&lt;src [10.199.99.169-9990] dst [10.201.1.28-9990] proto tcp dev E2-EH-AGN&gt; matches policy id: 4151</t>
  </si>
  <si>
    <t>FR-E2-FW-EH-1-FNET $ diagnose firewall iprope lookup 10.201.29.18 8443 10.201.1.28 8443 tcp E2-EH-CTX-APPS</t>
  </si>
  <si>
    <t>&lt;src [10.201.29.18-8443] dst [10.201.1.28-8443] proto tcp dev E2-EH-CTX-APPS&gt; matches policy id: 8974</t>
  </si>
  <si>
    <t>FR-E2-FW-EH-1-FNET $ diagnose firewall iprope lookup 10.201.29.18 8080 10.201.1.28 8080 tcp E2-EH-CTX-APPS</t>
  </si>
  <si>
    <t>&lt;src [10.201.29.18-8080] dst [10.201.1.28-8080] proto tcp dev E2-EH-CTX-APPS&gt; matches policy id: 8974</t>
  </si>
  <si>
    <t>FR-E2-FW-EH-1-FNET $ diagnose firewall iprope lookup 10.199.99.217 8443 10.201.1.28 8443 tcp E2-EH-AGN</t>
  </si>
  <si>
    <t>&lt;src [10.199.99.217-8443] dst [10.201.1.28-8443] proto tcp dev E2-EH-AGN&gt; matches policy id: 4151</t>
  </si>
  <si>
    <t>FR-E2-FW-EH-1-FNET $ diagnose firewall iprope lookup 10.199.99.217 9990 10.201.1.28 9990 tcp E2-EH-AGN</t>
  </si>
  <si>
    <t>&lt;src [10.199.99.217-9990] dst [10.201.1.28-9990] proto tcp dev E2-EH-AGN&gt; matches policy id: 4151</t>
  </si>
  <si>
    <t>FR-E2-FW-EH-1-FNET $ diagnose firewall iprope lookup 10.199.99.217 22 10.201.1.28 22 tcp E2-EH-AGN</t>
  </si>
  <si>
    <t>&lt;src [10.199.99.217-22] dst [10.201.1.28-22] proto tcp dev E2-EH-AGN&gt; matches policy id: 4151</t>
  </si>
  <si>
    <t>FR-E2-FW-EH-1-FNET $ diagnose firewall iprope lookup 10.222.64.149 8443 10.201.1.28 8443 tcp EH-VDI</t>
  </si>
  <si>
    <t>&lt;src [10.222.64.149-8443] dst [10.201.1.28-8443] proto tcp dev EH-VDI&gt; matches policy id: 4151</t>
  </si>
  <si>
    <t>FR-E2-FW-EH-1-FNET $ diagnose firewall iprope lookup 10.222.133.232 8443 10.201.1.28 8443 tcp E2-EH-AGN</t>
  </si>
  <si>
    <t>&lt;src [10.222.133.232-8443] dst [10.201.1.28-8443] proto tcp dev E2-EH-AGN&gt; matches policy id: 4151</t>
  </si>
  <si>
    <t>FR-E2-FW-EH-1-FNET $ diagnose firewall iprope lookup 10.222.65.208 8443 10.201.1.28 8443 tcp EH-VDI</t>
  </si>
  <si>
    <t>&lt;src [10.222.65.208-8443] dst [10.201.1.28-8443] proto tcp dev EH-VDI&gt; matches policy id: 4151</t>
  </si>
  <si>
    <t>FR-E2-FW-EH-1-FNET $ diagnose firewall iprope lookup 10.199.99.40 8443 10.201.1.28 8443 tcp E2-EH-AGN</t>
  </si>
  <si>
    <t>&lt;src [10.199.99.40-8443] dst [10.201.1.28-8443] proto tcp dev E2-EH-AGN&gt; matches policy id: 4151</t>
  </si>
  <si>
    <t>FR-E2-FW-EH-1-FNET $ diagnose firewall iprope lookup 10.199.102.183 8443 10.201.1.28 8443 tcp E2-EH-AGN</t>
  </si>
  <si>
    <t>&lt;src [10.199.102.183-8443] dst [10.201.1.28-8443] proto tcp dev E2-EH-AGN&gt; matches policy id: 4151</t>
  </si>
  <si>
    <t>FR-E2-FW-EH-1-FNET $ diagnose firewall iprope lookup 10.222.128.78 8080 10.201.1.28 8080 tcp E2-EH-AGN</t>
  </si>
  <si>
    <t>&lt;src [10.222.128.78-8080] dst [10.201.1.28-8080] proto tcp dev E2-EH-AGN&gt; matches policy id: 4151</t>
  </si>
  <si>
    <t>FR-E2-FW-EH-1-FNET $ diagnose firewall iprope lookup 10.201.29.82 8080 10.201.1.28 8080 tcp E2-EH-CTX-APPS</t>
  </si>
  <si>
    <t>&lt;src [10.201.29.82-8080] dst [10.201.1.28-8080] proto tcp dev E2-EH-CTX-APPS&gt; matches policy id: 8974</t>
  </si>
  <si>
    <t>FR-E2-FW-EH-1-FNET $ diagnose firewall iprope lookup 10.201.29.82 8443 10.201.1.28 8443 tcp E2-EH-CTX-APPS</t>
  </si>
  <si>
    <t>&lt;src [10.201.29.82-8443] dst [10.201.1.28-8443] proto tcp dev E2-EH-CTX-APPS&gt; matches policy id: 8974</t>
  </si>
  <si>
    <t>FR-E2-FW-EH-1-FNET $ diagnose firewall iprope lookup 10.222.128.59 8080 10.201.1.28 8080 tcp E2-EH-AGN</t>
  </si>
  <si>
    <t>&lt;src [10.222.128.59-8080] dst [10.201.1.28-8080] proto tcp dev E2-EH-AGN&gt; matches policy id: 4151</t>
  </si>
  <si>
    <t>FR-E2-FW-EH-1-FNET $ diagnose firewall iprope lookup 10.222.64.71 8443 10.201.1.28 8443 tcp EH-VDI</t>
  </si>
  <si>
    <t>&lt;src [10.222.64.71-8443] dst [10.201.1.28-8443] proto tcp dev EH-VDI&gt; matches policy id: 4151</t>
  </si>
  <si>
    <t>FR-E2-FW-EH-1-FNET $ diagnose firewall iprope lookup 10.222.65.106 8443 10.201.1.28 8443 tcp EH-VDI</t>
  </si>
  <si>
    <t>&lt;src [10.222.65.106-8443] dst [10.201.1.28-8443] proto tcp dev EH-VDI&gt; matches policy id: 4151</t>
  </si>
  <si>
    <t>FR-E2-FW-EH-1-FNET $ diagnose firewall iprope lookup 10.222.72.247 8443 10.201.1.28 8443 tcp EH-VDI</t>
  </si>
  <si>
    <t>&lt;src [10.222.72.247-8443] dst [10.201.1.28-8443] proto tcp dev EH-VDI&gt; matches policy id: 4151</t>
  </si>
  <si>
    <t>FR-E2-FW-EH-1-FNET $ diagnose firewall iprope lookup 10.222.64.77 8443 10.201.1.28 8443 tcp EH-VDI</t>
  </si>
  <si>
    <t>&lt;src [10.222.64.77-8443] dst [10.201.1.28-8443] proto tcp dev EH-VDI&gt; matches policy id: 4151</t>
  </si>
  <si>
    <t>FR-E2-FW-EH-1-FNET $ diagnose firewall iprope lookup 10.199.99.150 22 10.201.1.28 22 tcp E2-EH-AGN</t>
  </si>
  <si>
    <t>&lt;src [10.199.99.150-22] dst [10.201.1.28-22] proto tcp dev E2-EH-AGN&gt; matches policy id: 4151</t>
  </si>
  <si>
    <t>FR-E2-FW-EH-1-FNET $ diagnose firewall iprope lookup 10.199.99.150 8443 10.201.1.28 8443 tcp E2-EH-AGN</t>
  </si>
  <si>
    <t>&lt;src [10.199.99.150-8443] dst [10.201.1.28-8443] proto tcp dev E2-EH-AGN&gt; matches policy id: 4151</t>
  </si>
  <si>
    <t>FR-E2-FW-EH-1-FNET $ diagnose firewall iprope lookup 10.222.128.3 8443 10.201.1.28 8443 tcp E2-EH-AGN</t>
  </si>
  <si>
    <t>&lt;src [10.222.128.3-8443] dst [10.201.1.28-8443] proto tcp dev E2-EH-AGN&gt; matches policy id: 4151</t>
  </si>
  <si>
    <t>FR-E2-FW-EH-1-FNET $ diagnose firewall iprope lookup 10.222.128.3 8080 10.201.1.28 8080 tcp E2-EH-AGN</t>
  </si>
  <si>
    <t>&lt;src [10.222.128.3-8080] dst [10.201.1.28-8080] proto tcp dev E2-EH-AGN&gt; matches policy id: 4151</t>
  </si>
  <si>
    <t>FR-E2-FW-EH-1-FNET $ diagnose firewall iprope lookup 10.222.131.84 8443 10.201.1.28 8443 tcp E2-EH-AGN</t>
  </si>
  <si>
    <t>&lt;src [10.222.131.84-8443] dst [10.201.1.28-8443] proto tcp dev E2-EH-AGN&gt; matches policy id: 4151</t>
  </si>
  <si>
    <t>FR-E2-FW-EH-1-FNET $ diagnose firewall iprope lookup 10.222.64.110 8443 10.201.1.28 8443 tcp EH-VDI</t>
  </si>
  <si>
    <t>&lt;src [10.222.64.110-8443] dst [10.201.1.28-8443] proto tcp dev EH-VDI&gt; matches policy id: 4151</t>
  </si>
  <si>
    <t>FR-E2-FW-EH-1-FNET $ diagnose firewall iprope lookup 10.222.64.110 8080 10.201.1.28 8080 tcp EH-VDI</t>
  </si>
  <si>
    <t>&lt;src [10.222.64.110-8080] dst [10.201.1.28-8080] proto tcp dev EH-VDI&gt; matches policy id: 4151</t>
  </si>
  <si>
    <t>FR-E2-FW-EH-1-FNET $ diagnose firewall iprope lookup 10.222.133.237 8443 10.201.1.28 8443 tcp E2-EH-AGN</t>
  </si>
  <si>
    <t>&lt;src [10.222.133.237-8443] dst [10.201.1.28-8443] proto tcp dev E2-EH-AGN&gt; matches policy id: 4151</t>
  </si>
  <si>
    <t>FR-E2-FW-EH-1-FNET $ diagnose firewall iprope lookup 10.222.133.237 8080 10.201.1.28 8080 tcp E2-EH-AGN</t>
  </si>
  <si>
    <t>&lt;src [10.222.133.237-8080] dst [10.201.1.28-8080] proto tcp dev E2-EH-AGN&gt; matches policy id: 4151</t>
  </si>
  <si>
    <t>FR-E2-FW-EH-1-FNET $ diagnose firewall iprope lookup 10.222.129.53 8443 10.201.1.28 8443 tcp E2-EH-AGN</t>
  </si>
  <si>
    <t>&lt;src [10.222.129.53-8443] dst [10.201.1.28-8443] proto tcp dev E2-EH-AGN&gt; matches policy id: 4151</t>
  </si>
  <si>
    <t>FR-E2-FW-EH-1-FNET $ diagnose firewall iprope lookup 10.199.103.191 8080 10.201.1.28 8080 tcp E2-EH-AGN</t>
  </si>
  <si>
    <t>&lt;src [10.199.103.191-8080] dst [10.201.1.28-8080] proto tcp dev E2-EH-AGN&gt; matches policy id: 4151</t>
  </si>
  <si>
    <t>FR-E2-FW-EH-1-FNET $ diagnose firewall iprope lookup 10.222.129.104 8443 10.201.1.28 8443 tcp E2-EH-AGN</t>
  </si>
  <si>
    <t>&lt;src [10.222.129.104-8443] dst [10.201.1.28-8443] proto tcp dev E2-EH-AGN&gt; matches policy id: 4151</t>
  </si>
  <si>
    <t>FR-E2-FW-EH-1-FNET $ diagnose firewall iprope lookup 10.222.128.43 8443 10.201.1.28 8443 tcp E2-EH-AGN</t>
  </si>
  <si>
    <t>&lt;src [10.222.128.43-8443] dst [10.201.1.28-8443] proto tcp dev E2-EH-AGN&gt; matches policy id: 4151</t>
  </si>
  <si>
    <t>FR-E2-FW-EH-1-FNET $ diagnose firewall iprope lookup 10.222.71.212 8443 10.201.1.28 8443 tcp EH-VDI</t>
  </si>
  <si>
    <t>&lt;src [10.222.71.212-8443] dst [10.201.1.28-8443] proto tcp dev EH-VDI&gt; matches policy id: 4151</t>
  </si>
  <si>
    <t>FR-E2-FW-EH-1-FNET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</si>
</sst>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43D0-6F82-43C0-B4F7-87E3886B59AF}">
  <dimension ref="A1:Q86"/>
  <sheetViews>
    <sheetView topLeftCell="O65" workbookViewId="0">
      <selection activeCell="Q2" sqref="Q2:Q86"/>
    </sheetView>
  </sheetViews>
  <sheetFormatPr defaultRowHeight="14" x14ac:dyDescent="0.3"/>
  <cols>
    <col min="1" max="1" width="13.25" bestFit="1" customWidth="1"/>
    <col min="2" max="2" width="6.5" bestFit="1" customWidth="1"/>
    <col min="3" max="3" width="12.6640625" bestFit="1" customWidth="1"/>
    <col min="4" max="4" width="36.33203125" bestFit="1" customWidth="1"/>
    <col min="5" max="5" width="15.83203125" bestFit="1" customWidth="1"/>
    <col min="6" max="6" width="8" bestFit="1" customWidth="1"/>
    <col min="7" max="7" width="10.75" bestFit="1" customWidth="1"/>
    <col min="8" max="8" width="24.75" bestFit="1" customWidth="1"/>
    <col min="9" max="9" width="7.33203125" bestFit="1" customWidth="1"/>
    <col min="11" max="11" width="6.5" bestFit="1" customWidth="1"/>
    <col min="12" max="12" width="7.83203125" bestFit="1" customWidth="1"/>
    <col min="13" max="13" width="28.25" bestFit="1" customWidth="1"/>
    <col min="14" max="14" width="47.6640625" bestFit="1" customWidth="1"/>
    <col min="15" max="15" width="25.75" bestFit="1" customWidth="1"/>
    <col min="16" max="16" width="25.75" customWidth="1"/>
    <col min="17" max="17" width="75.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216</v>
      </c>
      <c r="N1" t="s">
        <v>216</v>
      </c>
      <c r="O1" t="s">
        <v>216</v>
      </c>
      <c r="P1" t="s">
        <v>216</v>
      </c>
      <c r="Q1" t="s">
        <v>216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158</v>
      </c>
      <c r="I2" t="s">
        <v>16</v>
      </c>
      <c r="J2">
        <v>8080</v>
      </c>
      <c r="K2">
        <v>8080</v>
      </c>
      <c r="M2" t="s">
        <v>217</v>
      </c>
      <c r="N2" t="str">
        <f>_xlfn.CONCAT(M2," ",E2, " | grep -f *")</f>
        <v>get router info routing-table details 10.201.29.84 | grep -f *</v>
      </c>
      <c r="O2" t="s">
        <v>218</v>
      </c>
      <c r="P2" t="s">
        <v>219</v>
      </c>
      <c r="Q2" t="str">
        <f>_xlfn.CONCAT(O2," ",E2," ",J2," 10.201.1.28 ",K2, " tcp ",P2,"")</f>
        <v>diagnose firewall iprope lookup 10.201.29.84 8080 10.201.1.28 8080 tcp E2-EH-CTX-APPS</v>
      </c>
    </row>
    <row r="3" spans="1:17" x14ac:dyDescent="0.3">
      <c r="A3" t="s">
        <v>12</v>
      </c>
      <c r="B3" t="s">
        <v>13</v>
      </c>
      <c r="C3" t="s">
        <v>17</v>
      </c>
      <c r="D3" t="s">
        <v>15</v>
      </c>
      <c r="E3" t="s">
        <v>158</v>
      </c>
      <c r="I3" t="s">
        <v>16</v>
      </c>
      <c r="J3">
        <v>8443</v>
      </c>
      <c r="K3">
        <v>8443</v>
      </c>
      <c r="M3" t="s">
        <v>217</v>
      </c>
      <c r="N3" t="str">
        <f t="shared" ref="N3:N66" si="0">_xlfn.CONCAT(M3," ",E3, " | grep -f *")</f>
        <v>get router info routing-table details 10.201.29.84 | grep -f *</v>
      </c>
      <c r="O3" t="s">
        <v>218</v>
      </c>
      <c r="P3" t="s">
        <v>219</v>
      </c>
      <c r="Q3" t="str">
        <f t="shared" ref="Q3:Q66" si="1">_xlfn.CONCAT(O3," ",E3," ",J3," 10.201.1.28 ",K3, " tcp ",P3,"")</f>
        <v>diagnose firewall iprope lookup 10.201.29.84 8443 10.201.1.28 8443 tcp E2-EH-CTX-APPS</v>
      </c>
    </row>
    <row r="4" spans="1:17" x14ac:dyDescent="0.3">
      <c r="A4" t="s">
        <v>12</v>
      </c>
      <c r="B4" t="s">
        <v>13</v>
      </c>
      <c r="C4" t="s">
        <v>18</v>
      </c>
      <c r="D4" t="s">
        <v>19</v>
      </c>
      <c r="E4" t="s">
        <v>159</v>
      </c>
      <c r="I4" t="s">
        <v>16</v>
      </c>
      <c r="J4">
        <v>8080</v>
      </c>
      <c r="K4">
        <v>8080</v>
      </c>
      <c r="M4" t="s">
        <v>217</v>
      </c>
      <c r="N4" t="str">
        <f t="shared" si="0"/>
        <v>get router info routing-table details 10.201.29.49 | grep -f *</v>
      </c>
      <c r="O4" t="s">
        <v>218</v>
      </c>
      <c r="P4" t="s">
        <v>219</v>
      </c>
      <c r="Q4" t="str">
        <f t="shared" si="1"/>
        <v>diagnose firewall iprope lookup 10.201.29.49 8080 10.201.1.28 8080 tcp E2-EH-CTX-APPS</v>
      </c>
    </row>
    <row r="5" spans="1:17" x14ac:dyDescent="0.3">
      <c r="A5" t="s">
        <v>12</v>
      </c>
      <c r="B5" t="s">
        <v>13</v>
      </c>
      <c r="C5" t="s">
        <v>20</v>
      </c>
      <c r="D5" t="s">
        <v>19</v>
      </c>
      <c r="E5" t="s">
        <v>159</v>
      </c>
      <c r="I5" t="s">
        <v>16</v>
      </c>
      <c r="J5">
        <v>8443</v>
      </c>
      <c r="K5">
        <v>8443</v>
      </c>
      <c r="M5" t="s">
        <v>217</v>
      </c>
      <c r="N5" t="str">
        <f t="shared" si="0"/>
        <v>get router info routing-table details 10.201.29.49 | grep -f *</v>
      </c>
      <c r="O5" t="s">
        <v>218</v>
      </c>
      <c r="P5" t="s">
        <v>219</v>
      </c>
      <c r="Q5" t="str">
        <f t="shared" si="1"/>
        <v>diagnose firewall iprope lookup 10.201.29.49 8443 10.201.1.28 8443 tcp E2-EH-CTX-APPS</v>
      </c>
    </row>
    <row r="6" spans="1:17" x14ac:dyDescent="0.3">
      <c r="A6" t="s">
        <v>12</v>
      </c>
      <c r="B6" t="s">
        <v>13</v>
      </c>
      <c r="C6" t="s">
        <v>21</v>
      </c>
      <c r="D6" t="s">
        <v>22</v>
      </c>
      <c r="E6" t="s">
        <v>160</v>
      </c>
      <c r="I6" t="s">
        <v>16</v>
      </c>
      <c r="J6">
        <v>8080</v>
      </c>
      <c r="K6">
        <v>8080</v>
      </c>
      <c r="M6" t="s">
        <v>217</v>
      </c>
      <c r="N6" t="str">
        <f t="shared" si="0"/>
        <v>get router info routing-table details 10.201.29.80 | grep -f *</v>
      </c>
      <c r="O6" t="s">
        <v>218</v>
      </c>
      <c r="P6" t="s">
        <v>219</v>
      </c>
      <c r="Q6" t="str">
        <f t="shared" si="1"/>
        <v>diagnose firewall iprope lookup 10.201.29.80 8080 10.201.1.28 8080 tcp E2-EH-CTX-APPS</v>
      </c>
    </row>
    <row r="7" spans="1:17" x14ac:dyDescent="0.3">
      <c r="A7" t="s">
        <v>12</v>
      </c>
      <c r="B7" t="s">
        <v>13</v>
      </c>
      <c r="C7" t="s">
        <v>23</v>
      </c>
      <c r="D7" t="s">
        <v>22</v>
      </c>
      <c r="E7" t="s">
        <v>160</v>
      </c>
      <c r="I7" t="s">
        <v>16</v>
      </c>
      <c r="J7">
        <v>8443</v>
      </c>
      <c r="K7">
        <v>8443</v>
      </c>
      <c r="M7" t="s">
        <v>217</v>
      </c>
      <c r="N7" t="str">
        <f t="shared" si="0"/>
        <v>get router info routing-table details 10.201.29.80 | grep -f *</v>
      </c>
      <c r="O7" t="s">
        <v>218</v>
      </c>
      <c r="P7" t="s">
        <v>219</v>
      </c>
      <c r="Q7" t="str">
        <f t="shared" si="1"/>
        <v>diagnose firewall iprope lookup 10.201.29.80 8443 10.201.1.28 8443 tcp E2-EH-CTX-APPS</v>
      </c>
    </row>
    <row r="8" spans="1:17" x14ac:dyDescent="0.3">
      <c r="A8" t="s">
        <v>12</v>
      </c>
      <c r="B8" t="s">
        <v>13</v>
      </c>
      <c r="C8" t="s">
        <v>24</v>
      </c>
      <c r="D8" t="s">
        <v>25</v>
      </c>
      <c r="E8" t="s">
        <v>161</v>
      </c>
      <c r="I8" t="s">
        <v>16</v>
      </c>
      <c r="J8">
        <v>8080</v>
      </c>
      <c r="K8">
        <v>8080</v>
      </c>
      <c r="M8" t="s">
        <v>217</v>
      </c>
      <c r="N8" t="str">
        <f t="shared" si="0"/>
        <v>get router info routing-table details 10.201.29.125 | grep -f *</v>
      </c>
      <c r="O8" t="s">
        <v>218</v>
      </c>
      <c r="P8" t="s">
        <v>219</v>
      </c>
      <c r="Q8" t="str">
        <f t="shared" si="1"/>
        <v>diagnose firewall iprope lookup 10.201.29.125 8080 10.201.1.28 8080 tcp E2-EH-CTX-APPS</v>
      </c>
    </row>
    <row r="9" spans="1:17" x14ac:dyDescent="0.3">
      <c r="A9" t="s">
        <v>12</v>
      </c>
      <c r="B9" t="s">
        <v>13</v>
      </c>
      <c r="C9" t="s">
        <v>26</v>
      </c>
      <c r="D9" t="s">
        <v>25</v>
      </c>
      <c r="E9" t="s">
        <v>161</v>
      </c>
      <c r="I9" t="s">
        <v>16</v>
      </c>
      <c r="J9">
        <v>8443</v>
      </c>
      <c r="K9">
        <v>8443</v>
      </c>
      <c r="M9" t="s">
        <v>217</v>
      </c>
      <c r="N9" t="str">
        <f t="shared" si="0"/>
        <v>get router info routing-table details 10.201.29.125 | grep -f *</v>
      </c>
      <c r="O9" t="s">
        <v>218</v>
      </c>
      <c r="P9" t="s">
        <v>219</v>
      </c>
      <c r="Q9" t="str">
        <f t="shared" si="1"/>
        <v>diagnose firewall iprope lookup 10.201.29.125 8443 10.201.1.28 8443 tcp E2-EH-CTX-APPS</v>
      </c>
    </row>
    <row r="10" spans="1:17" x14ac:dyDescent="0.3">
      <c r="A10" t="s">
        <v>12</v>
      </c>
      <c r="B10" t="s">
        <v>13</v>
      </c>
      <c r="C10" t="s">
        <v>27</v>
      </c>
      <c r="D10" t="s">
        <v>28</v>
      </c>
      <c r="E10" t="s">
        <v>162</v>
      </c>
      <c r="I10" t="s">
        <v>16</v>
      </c>
      <c r="J10">
        <v>8443</v>
      </c>
      <c r="K10">
        <v>8443</v>
      </c>
      <c r="M10" t="s">
        <v>217</v>
      </c>
      <c r="N10" t="str">
        <f t="shared" si="0"/>
        <v>get router info routing-table details 10.201.29.19 | grep -f *</v>
      </c>
      <c r="O10" t="s">
        <v>218</v>
      </c>
      <c r="P10" t="s">
        <v>219</v>
      </c>
      <c r="Q10" t="str">
        <f t="shared" si="1"/>
        <v>diagnose firewall iprope lookup 10.201.29.19 8443 10.201.1.28 8443 tcp E2-EH-CTX-APPS</v>
      </c>
    </row>
    <row r="11" spans="1:17" x14ac:dyDescent="0.3">
      <c r="A11" t="s">
        <v>12</v>
      </c>
      <c r="B11" t="s">
        <v>13</v>
      </c>
      <c r="C11" t="s">
        <v>29</v>
      </c>
      <c r="D11" t="s">
        <v>28</v>
      </c>
      <c r="E11" t="s">
        <v>162</v>
      </c>
      <c r="I11" t="s">
        <v>16</v>
      </c>
      <c r="J11">
        <v>8080</v>
      </c>
      <c r="K11">
        <v>8080</v>
      </c>
      <c r="M11" t="s">
        <v>217</v>
      </c>
      <c r="N11" t="str">
        <f t="shared" si="0"/>
        <v>get router info routing-table details 10.201.29.19 | grep -f *</v>
      </c>
      <c r="O11" t="s">
        <v>218</v>
      </c>
      <c r="P11" t="s">
        <v>219</v>
      </c>
      <c r="Q11" t="str">
        <f t="shared" si="1"/>
        <v>diagnose firewall iprope lookup 10.201.29.19 8080 10.201.1.28 8080 tcp E2-EH-CTX-APPS</v>
      </c>
    </row>
    <row r="12" spans="1:17" x14ac:dyDescent="0.3">
      <c r="A12" t="s">
        <v>12</v>
      </c>
      <c r="B12" t="s">
        <v>13</v>
      </c>
      <c r="C12" t="s">
        <v>30</v>
      </c>
      <c r="D12" t="s">
        <v>31</v>
      </c>
      <c r="E12" t="s">
        <v>163</v>
      </c>
      <c r="I12" t="s">
        <v>16</v>
      </c>
      <c r="J12">
        <v>8443</v>
      </c>
      <c r="K12">
        <v>8443</v>
      </c>
      <c r="M12" t="s">
        <v>217</v>
      </c>
      <c r="N12" t="str">
        <f t="shared" si="0"/>
        <v>get router info routing-table details 10.222.65.159 | grep -f *</v>
      </c>
      <c r="O12" t="s">
        <v>218</v>
      </c>
      <c r="P12" t="s">
        <v>220</v>
      </c>
      <c r="Q12" t="str">
        <f t="shared" si="1"/>
        <v>diagnose firewall iprope lookup 10.222.65.159 8443 10.201.1.28 8443 tcp EH-VDI</v>
      </c>
    </row>
    <row r="13" spans="1:17" x14ac:dyDescent="0.3">
      <c r="A13" t="s">
        <v>12</v>
      </c>
      <c r="B13" t="s">
        <v>13</v>
      </c>
      <c r="C13" t="s">
        <v>32</v>
      </c>
      <c r="D13" t="s">
        <v>33</v>
      </c>
      <c r="E13" t="s">
        <v>164</v>
      </c>
      <c r="I13" t="s">
        <v>16</v>
      </c>
      <c r="J13">
        <v>8080</v>
      </c>
      <c r="K13">
        <v>8080</v>
      </c>
      <c r="M13" t="s">
        <v>217</v>
      </c>
      <c r="N13" t="str">
        <f t="shared" si="0"/>
        <v>get router info routing-table details 10.201.29.17 | grep -f *</v>
      </c>
      <c r="O13" t="s">
        <v>218</v>
      </c>
      <c r="P13" t="s">
        <v>219</v>
      </c>
      <c r="Q13" t="str">
        <f t="shared" si="1"/>
        <v>diagnose firewall iprope lookup 10.201.29.17 8080 10.201.1.28 8080 tcp E2-EH-CTX-APPS</v>
      </c>
    </row>
    <row r="14" spans="1:17" x14ac:dyDescent="0.3">
      <c r="A14" t="s">
        <v>12</v>
      </c>
      <c r="B14" t="s">
        <v>13</v>
      </c>
      <c r="C14" t="s">
        <v>34</v>
      </c>
      <c r="D14" t="s">
        <v>33</v>
      </c>
      <c r="E14" t="s">
        <v>164</v>
      </c>
      <c r="I14" t="s">
        <v>16</v>
      </c>
      <c r="J14">
        <v>8443</v>
      </c>
      <c r="K14">
        <v>8443</v>
      </c>
      <c r="M14" t="s">
        <v>217</v>
      </c>
      <c r="N14" t="str">
        <f t="shared" si="0"/>
        <v>get router info routing-table details 10.201.29.17 | grep -f *</v>
      </c>
      <c r="O14" t="s">
        <v>218</v>
      </c>
      <c r="P14" t="s">
        <v>219</v>
      </c>
      <c r="Q14" t="str">
        <f t="shared" si="1"/>
        <v>diagnose firewall iprope lookup 10.201.29.17 8443 10.201.1.28 8443 tcp E2-EH-CTX-APPS</v>
      </c>
    </row>
    <row r="15" spans="1:17" x14ac:dyDescent="0.3">
      <c r="A15" t="s">
        <v>12</v>
      </c>
      <c r="B15" t="s">
        <v>13</v>
      </c>
      <c r="C15" t="s">
        <v>35</v>
      </c>
      <c r="D15" t="s">
        <v>36</v>
      </c>
      <c r="E15" t="s">
        <v>165</v>
      </c>
      <c r="I15" t="s">
        <v>16</v>
      </c>
      <c r="J15">
        <v>8080</v>
      </c>
      <c r="K15">
        <v>8080</v>
      </c>
      <c r="M15" t="s">
        <v>217</v>
      </c>
      <c r="N15" t="str">
        <f t="shared" si="0"/>
        <v>get router info routing-table details 10.201.29.83 | grep -f *</v>
      </c>
      <c r="O15" t="s">
        <v>218</v>
      </c>
      <c r="P15" t="s">
        <v>219</v>
      </c>
      <c r="Q15" t="str">
        <f t="shared" si="1"/>
        <v>diagnose firewall iprope lookup 10.201.29.83 8080 10.201.1.28 8080 tcp E2-EH-CTX-APPS</v>
      </c>
    </row>
    <row r="16" spans="1:17" x14ac:dyDescent="0.3">
      <c r="A16" t="s">
        <v>12</v>
      </c>
      <c r="B16" t="s">
        <v>13</v>
      </c>
      <c r="C16" t="s">
        <v>37</v>
      </c>
      <c r="D16" t="s">
        <v>36</v>
      </c>
      <c r="E16" t="s">
        <v>165</v>
      </c>
      <c r="I16" t="s">
        <v>16</v>
      </c>
      <c r="J16">
        <v>8443</v>
      </c>
      <c r="K16">
        <v>8443</v>
      </c>
      <c r="M16" t="s">
        <v>217</v>
      </c>
      <c r="N16" t="str">
        <f t="shared" si="0"/>
        <v>get router info routing-table details 10.201.29.83 | grep -f *</v>
      </c>
      <c r="O16" t="s">
        <v>218</v>
      </c>
      <c r="P16" t="s">
        <v>219</v>
      </c>
      <c r="Q16" t="str">
        <f t="shared" si="1"/>
        <v>diagnose firewall iprope lookup 10.201.29.83 8443 10.201.1.28 8443 tcp E2-EH-CTX-APPS</v>
      </c>
    </row>
    <row r="17" spans="1:17" x14ac:dyDescent="0.3">
      <c r="A17" t="s">
        <v>12</v>
      </c>
      <c r="B17" t="s">
        <v>13</v>
      </c>
      <c r="C17" t="s">
        <v>38</v>
      </c>
      <c r="D17" t="s">
        <v>39</v>
      </c>
      <c r="E17" t="s">
        <v>166</v>
      </c>
      <c r="I17" t="s">
        <v>16</v>
      </c>
      <c r="J17">
        <v>8080</v>
      </c>
      <c r="K17">
        <v>8080</v>
      </c>
      <c r="M17" t="s">
        <v>217</v>
      </c>
      <c r="N17" t="str">
        <f t="shared" si="0"/>
        <v>get router info routing-table details 10.201.29.146 | grep -f *</v>
      </c>
      <c r="O17" t="s">
        <v>218</v>
      </c>
      <c r="P17" t="s">
        <v>219</v>
      </c>
      <c r="Q17" t="str">
        <f t="shared" si="1"/>
        <v>diagnose firewall iprope lookup 10.201.29.146 8080 10.201.1.28 8080 tcp E2-EH-CTX-APPS</v>
      </c>
    </row>
    <row r="18" spans="1:17" x14ac:dyDescent="0.3">
      <c r="A18" t="s">
        <v>12</v>
      </c>
      <c r="B18" t="s">
        <v>13</v>
      </c>
      <c r="C18" t="s">
        <v>40</v>
      </c>
      <c r="D18" t="s">
        <v>39</v>
      </c>
      <c r="E18" t="s">
        <v>166</v>
      </c>
      <c r="I18" t="s">
        <v>16</v>
      </c>
      <c r="J18">
        <v>8443</v>
      </c>
      <c r="K18">
        <v>8443</v>
      </c>
      <c r="M18" t="s">
        <v>217</v>
      </c>
      <c r="N18" t="str">
        <f t="shared" si="0"/>
        <v>get router info routing-table details 10.201.29.146 | grep -f *</v>
      </c>
      <c r="O18" t="s">
        <v>218</v>
      </c>
      <c r="P18" t="s">
        <v>219</v>
      </c>
      <c r="Q18" t="str">
        <f t="shared" si="1"/>
        <v>diagnose firewall iprope lookup 10.201.29.146 8443 10.201.1.28 8443 tcp E2-EH-CTX-APPS</v>
      </c>
    </row>
    <row r="19" spans="1:17" x14ac:dyDescent="0.3">
      <c r="A19" t="s">
        <v>12</v>
      </c>
      <c r="B19" t="s">
        <v>13</v>
      </c>
      <c r="C19" t="s">
        <v>41</v>
      </c>
      <c r="D19" t="s">
        <v>42</v>
      </c>
      <c r="E19" t="s">
        <v>167</v>
      </c>
      <c r="I19" t="s">
        <v>16</v>
      </c>
      <c r="J19">
        <v>8443</v>
      </c>
      <c r="K19">
        <v>8443</v>
      </c>
      <c r="M19" t="s">
        <v>217</v>
      </c>
      <c r="N19" t="str">
        <f t="shared" si="0"/>
        <v>get router info routing-table details 10.222.128.24 | grep -f *</v>
      </c>
      <c r="O19" t="s">
        <v>218</v>
      </c>
      <c r="P19" t="s">
        <v>221</v>
      </c>
      <c r="Q19" t="str">
        <f t="shared" si="1"/>
        <v>diagnose firewall iprope lookup 10.222.128.24 8443 10.201.1.28 8443 tcp E2-EH-AGN</v>
      </c>
    </row>
    <row r="20" spans="1:17" x14ac:dyDescent="0.3">
      <c r="A20" t="s">
        <v>12</v>
      </c>
      <c r="B20" t="s">
        <v>13</v>
      </c>
      <c r="C20" t="s">
        <v>43</v>
      </c>
      <c r="D20" t="s">
        <v>44</v>
      </c>
      <c r="E20" t="s">
        <v>168</v>
      </c>
      <c r="I20" t="s">
        <v>16</v>
      </c>
      <c r="J20">
        <v>8443</v>
      </c>
      <c r="K20">
        <v>8443</v>
      </c>
      <c r="M20" t="s">
        <v>217</v>
      </c>
      <c r="N20" t="str">
        <f t="shared" si="0"/>
        <v>get router info routing-table details 10.222.64.198 | grep -f *</v>
      </c>
      <c r="O20" t="s">
        <v>218</v>
      </c>
      <c r="P20" t="s">
        <v>220</v>
      </c>
      <c r="Q20" t="str">
        <f t="shared" si="1"/>
        <v>diagnose firewall iprope lookup 10.222.64.198 8443 10.201.1.28 8443 tcp EH-VDI</v>
      </c>
    </row>
    <row r="21" spans="1:17" x14ac:dyDescent="0.3">
      <c r="A21" t="s">
        <v>12</v>
      </c>
      <c r="B21" t="s">
        <v>13</v>
      </c>
      <c r="C21" t="s">
        <v>45</v>
      </c>
      <c r="D21" t="s">
        <v>44</v>
      </c>
      <c r="E21" t="s">
        <v>168</v>
      </c>
      <c r="I21" t="s">
        <v>16</v>
      </c>
      <c r="J21">
        <v>8080</v>
      </c>
      <c r="K21">
        <v>8080</v>
      </c>
      <c r="M21" t="s">
        <v>217</v>
      </c>
      <c r="N21" t="str">
        <f t="shared" si="0"/>
        <v>get router info routing-table details 10.222.64.198 | grep -f *</v>
      </c>
      <c r="O21" t="s">
        <v>218</v>
      </c>
      <c r="P21" t="s">
        <v>220</v>
      </c>
      <c r="Q21" t="str">
        <f t="shared" si="1"/>
        <v>diagnose firewall iprope lookup 10.222.64.198 8080 10.201.1.28 8080 tcp EH-VDI</v>
      </c>
    </row>
    <row r="22" spans="1:17" x14ac:dyDescent="0.3">
      <c r="A22" t="s">
        <v>12</v>
      </c>
      <c r="B22" t="s">
        <v>13</v>
      </c>
      <c r="C22" t="s">
        <v>46</v>
      </c>
      <c r="D22" t="s">
        <v>47</v>
      </c>
      <c r="E22" t="s">
        <v>169</v>
      </c>
      <c r="I22" t="s">
        <v>16</v>
      </c>
      <c r="J22">
        <v>8080</v>
      </c>
      <c r="K22">
        <v>8080</v>
      </c>
      <c r="M22" t="s">
        <v>217</v>
      </c>
      <c r="N22" t="str">
        <f t="shared" si="0"/>
        <v>get router info routing-table details 44.119.0.71 | grep -f *</v>
      </c>
      <c r="O22" t="s">
        <v>218</v>
      </c>
      <c r="P22" t="s">
        <v>221</v>
      </c>
      <c r="Q22" t="str">
        <f t="shared" si="1"/>
        <v>diagnose firewall iprope lookup 44.119.0.71 8080 10.201.1.28 8080 tcp E2-EH-AGN</v>
      </c>
    </row>
    <row r="23" spans="1:17" x14ac:dyDescent="0.3">
      <c r="A23" t="s">
        <v>12</v>
      </c>
      <c r="B23" t="s">
        <v>13</v>
      </c>
      <c r="C23" t="s">
        <v>48</v>
      </c>
      <c r="D23" t="s">
        <v>47</v>
      </c>
      <c r="E23" t="s">
        <v>169</v>
      </c>
      <c r="I23" t="s">
        <v>16</v>
      </c>
      <c r="J23">
        <v>8443</v>
      </c>
      <c r="K23">
        <v>8443</v>
      </c>
      <c r="M23" t="s">
        <v>217</v>
      </c>
      <c r="N23" t="str">
        <f t="shared" si="0"/>
        <v>get router info routing-table details 44.119.0.71 | grep -f *</v>
      </c>
      <c r="O23" t="s">
        <v>218</v>
      </c>
      <c r="P23" t="s">
        <v>221</v>
      </c>
      <c r="Q23" t="str">
        <f t="shared" si="1"/>
        <v>diagnose firewall iprope lookup 44.119.0.71 8443 10.201.1.28 8443 tcp E2-EH-AGN</v>
      </c>
    </row>
    <row r="24" spans="1:17" x14ac:dyDescent="0.3">
      <c r="A24" t="s">
        <v>12</v>
      </c>
      <c r="B24" t="s">
        <v>13</v>
      </c>
      <c r="C24" t="s">
        <v>49</v>
      </c>
      <c r="D24" t="s">
        <v>50</v>
      </c>
      <c r="E24" t="s">
        <v>170</v>
      </c>
      <c r="I24" t="s">
        <v>16</v>
      </c>
      <c r="J24">
        <v>8080</v>
      </c>
      <c r="K24">
        <v>8080</v>
      </c>
      <c r="M24" t="s">
        <v>217</v>
      </c>
      <c r="N24" t="str">
        <f t="shared" si="0"/>
        <v>get router info routing-table details 10.201.29.16 | grep -f *</v>
      </c>
      <c r="O24" t="s">
        <v>218</v>
      </c>
      <c r="P24" t="s">
        <v>219</v>
      </c>
      <c r="Q24" t="str">
        <f t="shared" si="1"/>
        <v>diagnose firewall iprope lookup 10.201.29.16 8080 10.201.1.28 8080 tcp E2-EH-CTX-APPS</v>
      </c>
    </row>
    <row r="25" spans="1:17" x14ac:dyDescent="0.3">
      <c r="A25" t="s">
        <v>12</v>
      </c>
      <c r="B25" t="s">
        <v>13</v>
      </c>
      <c r="C25" t="s">
        <v>51</v>
      </c>
      <c r="D25" t="s">
        <v>50</v>
      </c>
      <c r="E25" t="s">
        <v>170</v>
      </c>
      <c r="I25" t="s">
        <v>16</v>
      </c>
      <c r="J25">
        <v>8443</v>
      </c>
      <c r="K25">
        <v>8443</v>
      </c>
      <c r="M25" t="s">
        <v>217</v>
      </c>
      <c r="N25" t="str">
        <f t="shared" si="0"/>
        <v>get router info routing-table details 10.201.29.16 | grep -f *</v>
      </c>
      <c r="O25" t="s">
        <v>218</v>
      </c>
      <c r="P25" t="s">
        <v>219</v>
      </c>
      <c r="Q25" t="str">
        <f t="shared" si="1"/>
        <v>diagnose firewall iprope lookup 10.201.29.16 8443 10.201.1.28 8443 tcp E2-EH-CTX-APPS</v>
      </c>
    </row>
    <row r="26" spans="1:17" x14ac:dyDescent="0.3">
      <c r="A26" t="s">
        <v>12</v>
      </c>
      <c r="B26" t="s">
        <v>13</v>
      </c>
      <c r="C26" t="s">
        <v>52</v>
      </c>
      <c r="D26" t="s">
        <v>53</v>
      </c>
      <c r="E26" t="s">
        <v>171</v>
      </c>
      <c r="I26" t="s">
        <v>16</v>
      </c>
      <c r="J26">
        <v>8080</v>
      </c>
      <c r="K26">
        <v>8080</v>
      </c>
      <c r="M26" t="s">
        <v>217</v>
      </c>
      <c r="N26" t="str">
        <f t="shared" si="0"/>
        <v>get router info routing-table details 10.201.29.75 | grep -f *</v>
      </c>
      <c r="O26" t="s">
        <v>218</v>
      </c>
      <c r="P26" t="s">
        <v>219</v>
      </c>
      <c r="Q26" t="str">
        <f t="shared" si="1"/>
        <v>diagnose firewall iprope lookup 10.201.29.75 8080 10.201.1.28 8080 tcp E2-EH-CTX-APPS</v>
      </c>
    </row>
    <row r="27" spans="1:17" x14ac:dyDescent="0.3">
      <c r="A27" t="s">
        <v>12</v>
      </c>
      <c r="B27" t="s">
        <v>13</v>
      </c>
      <c r="C27" t="s">
        <v>54</v>
      </c>
      <c r="D27" t="s">
        <v>55</v>
      </c>
      <c r="E27" t="s">
        <v>172</v>
      </c>
      <c r="I27" t="s">
        <v>16</v>
      </c>
      <c r="J27">
        <v>8443</v>
      </c>
      <c r="K27">
        <v>8443</v>
      </c>
      <c r="M27" t="s">
        <v>217</v>
      </c>
      <c r="N27" t="str">
        <f t="shared" si="0"/>
        <v>get router info routing-table details 10.222.64.173 | grep -f *</v>
      </c>
      <c r="O27" t="s">
        <v>218</v>
      </c>
      <c r="P27" t="s">
        <v>220</v>
      </c>
      <c r="Q27" t="str">
        <f t="shared" si="1"/>
        <v>diagnose firewall iprope lookup 10.222.64.173 8443 10.201.1.28 8443 tcp EH-VDI</v>
      </c>
    </row>
    <row r="28" spans="1:17" x14ac:dyDescent="0.3">
      <c r="A28" t="s">
        <v>12</v>
      </c>
      <c r="B28" t="s">
        <v>13</v>
      </c>
      <c r="C28" t="s">
        <v>56</v>
      </c>
      <c r="D28" t="s">
        <v>57</v>
      </c>
      <c r="E28" t="s">
        <v>173</v>
      </c>
      <c r="I28" t="s">
        <v>16</v>
      </c>
      <c r="J28">
        <v>8443</v>
      </c>
      <c r="K28">
        <v>8443</v>
      </c>
      <c r="M28" t="s">
        <v>217</v>
      </c>
      <c r="N28" t="str">
        <f t="shared" si="0"/>
        <v>get router info routing-table details 10.222.128.120 | grep -f *</v>
      </c>
      <c r="O28" t="s">
        <v>218</v>
      </c>
      <c r="P28" t="s">
        <v>221</v>
      </c>
      <c r="Q28" t="str">
        <f t="shared" si="1"/>
        <v>diagnose firewall iprope lookup 10.222.128.120 8443 10.201.1.28 8443 tcp E2-EH-AGN</v>
      </c>
    </row>
    <row r="29" spans="1:17" x14ac:dyDescent="0.3">
      <c r="A29" t="s">
        <v>12</v>
      </c>
      <c r="B29" t="s">
        <v>13</v>
      </c>
      <c r="C29" t="s">
        <v>58</v>
      </c>
      <c r="D29" t="s">
        <v>59</v>
      </c>
      <c r="E29" t="s">
        <v>174</v>
      </c>
      <c r="I29" t="s">
        <v>16</v>
      </c>
      <c r="J29">
        <v>8080</v>
      </c>
      <c r="K29">
        <v>8080</v>
      </c>
      <c r="M29" t="s">
        <v>217</v>
      </c>
      <c r="N29" t="str">
        <f t="shared" si="0"/>
        <v>get router info routing-table details 10.201.29.21 | grep -f *</v>
      </c>
      <c r="O29" t="s">
        <v>218</v>
      </c>
      <c r="P29" t="s">
        <v>219</v>
      </c>
      <c r="Q29" t="str">
        <f t="shared" si="1"/>
        <v>diagnose firewall iprope lookup 10.201.29.21 8080 10.201.1.28 8080 tcp E2-EH-CTX-APPS</v>
      </c>
    </row>
    <row r="30" spans="1:17" x14ac:dyDescent="0.3">
      <c r="A30" t="s">
        <v>12</v>
      </c>
      <c r="B30" t="s">
        <v>13</v>
      </c>
      <c r="C30" t="s">
        <v>60</v>
      </c>
      <c r="D30" t="s">
        <v>59</v>
      </c>
      <c r="E30" t="s">
        <v>174</v>
      </c>
      <c r="I30" t="s">
        <v>16</v>
      </c>
      <c r="J30">
        <v>8443</v>
      </c>
      <c r="K30">
        <v>8443</v>
      </c>
      <c r="M30" t="s">
        <v>217</v>
      </c>
      <c r="N30" t="str">
        <f t="shared" si="0"/>
        <v>get router info routing-table details 10.201.29.21 | grep -f *</v>
      </c>
      <c r="O30" t="s">
        <v>218</v>
      </c>
      <c r="P30" t="s">
        <v>219</v>
      </c>
      <c r="Q30" t="str">
        <f t="shared" si="1"/>
        <v>diagnose firewall iprope lookup 10.201.29.21 8443 10.201.1.28 8443 tcp E2-EH-CTX-APPS</v>
      </c>
    </row>
    <row r="31" spans="1:17" x14ac:dyDescent="0.3">
      <c r="A31" t="s">
        <v>12</v>
      </c>
      <c r="B31" t="s">
        <v>13</v>
      </c>
      <c r="C31" t="s">
        <v>61</v>
      </c>
      <c r="D31" t="s">
        <v>62</v>
      </c>
      <c r="E31" t="s">
        <v>175</v>
      </c>
      <c r="I31" t="s">
        <v>16</v>
      </c>
      <c r="J31">
        <v>8080</v>
      </c>
      <c r="K31">
        <v>8080</v>
      </c>
      <c r="M31" t="s">
        <v>217</v>
      </c>
      <c r="N31" t="str">
        <f t="shared" si="0"/>
        <v>get router info routing-table details 10.201.29.137 | grep -f *</v>
      </c>
      <c r="O31" t="s">
        <v>218</v>
      </c>
      <c r="P31" t="s">
        <v>219</v>
      </c>
      <c r="Q31" t="str">
        <f t="shared" si="1"/>
        <v>diagnose firewall iprope lookup 10.201.29.137 8080 10.201.1.28 8080 tcp E2-EH-CTX-APPS</v>
      </c>
    </row>
    <row r="32" spans="1:17" x14ac:dyDescent="0.3">
      <c r="A32" t="s">
        <v>12</v>
      </c>
      <c r="B32" t="s">
        <v>13</v>
      </c>
      <c r="C32" t="s">
        <v>63</v>
      </c>
      <c r="D32" t="s">
        <v>62</v>
      </c>
      <c r="E32" t="s">
        <v>175</v>
      </c>
      <c r="I32" t="s">
        <v>16</v>
      </c>
      <c r="J32">
        <v>8443</v>
      </c>
      <c r="K32">
        <v>8443</v>
      </c>
      <c r="M32" t="s">
        <v>217</v>
      </c>
      <c r="N32" t="str">
        <f t="shared" si="0"/>
        <v>get router info routing-table details 10.201.29.137 | grep -f *</v>
      </c>
      <c r="O32" t="s">
        <v>218</v>
      </c>
      <c r="P32" t="s">
        <v>219</v>
      </c>
      <c r="Q32" t="str">
        <f t="shared" si="1"/>
        <v>diagnose firewall iprope lookup 10.201.29.137 8443 10.201.1.28 8443 tcp E2-EH-CTX-APPS</v>
      </c>
    </row>
    <row r="33" spans="1:17" x14ac:dyDescent="0.3">
      <c r="A33" t="s">
        <v>12</v>
      </c>
      <c r="B33" t="s">
        <v>13</v>
      </c>
      <c r="C33" t="s">
        <v>64</v>
      </c>
      <c r="D33" t="s">
        <v>65</v>
      </c>
      <c r="E33" t="s">
        <v>176</v>
      </c>
      <c r="I33" t="s">
        <v>16</v>
      </c>
      <c r="J33">
        <v>8443</v>
      </c>
      <c r="K33">
        <v>8443</v>
      </c>
      <c r="M33" t="s">
        <v>217</v>
      </c>
      <c r="N33" t="str">
        <f t="shared" si="0"/>
        <v>get router info routing-table details 10.222.131.229 | grep -f *</v>
      </c>
      <c r="O33" t="s">
        <v>218</v>
      </c>
      <c r="P33" t="s">
        <v>221</v>
      </c>
      <c r="Q33" t="str">
        <f t="shared" si="1"/>
        <v>diagnose firewall iprope lookup 10.222.131.229 8443 10.201.1.28 8443 tcp E2-EH-AGN</v>
      </c>
    </row>
    <row r="34" spans="1:17" x14ac:dyDescent="0.3">
      <c r="A34" t="s">
        <v>12</v>
      </c>
      <c r="B34" t="s">
        <v>13</v>
      </c>
      <c r="C34" t="s">
        <v>66</v>
      </c>
      <c r="D34" t="s">
        <v>67</v>
      </c>
      <c r="E34" t="s">
        <v>177</v>
      </c>
      <c r="I34" t="s">
        <v>16</v>
      </c>
      <c r="J34">
        <v>8080</v>
      </c>
      <c r="K34">
        <v>8080</v>
      </c>
      <c r="M34" t="s">
        <v>217</v>
      </c>
      <c r="N34" t="str">
        <f t="shared" si="0"/>
        <v>get router info routing-table details 10.201.29.15 | grep -f *</v>
      </c>
      <c r="O34" t="s">
        <v>218</v>
      </c>
      <c r="P34" t="s">
        <v>219</v>
      </c>
      <c r="Q34" t="str">
        <f t="shared" si="1"/>
        <v>diagnose firewall iprope lookup 10.201.29.15 8080 10.201.1.28 8080 tcp E2-EH-CTX-APPS</v>
      </c>
    </row>
    <row r="35" spans="1:17" x14ac:dyDescent="0.3">
      <c r="A35" t="s">
        <v>12</v>
      </c>
      <c r="B35" t="s">
        <v>13</v>
      </c>
      <c r="C35" t="s">
        <v>68</v>
      </c>
      <c r="D35" t="s">
        <v>67</v>
      </c>
      <c r="E35" t="s">
        <v>177</v>
      </c>
      <c r="I35" t="s">
        <v>16</v>
      </c>
      <c r="J35">
        <v>8443</v>
      </c>
      <c r="K35">
        <v>8443</v>
      </c>
      <c r="M35" t="s">
        <v>217</v>
      </c>
      <c r="N35" t="str">
        <f t="shared" si="0"/>
        <v>get router info routing-table details 10.201.29.15 | grep -f *</v>
      </c>
      <c r="O35" t="s">
        <v>218</v>
      </c>
      <c r="P35" t="s">
        <v>219</v>
      </c>
      <c r="Q35" t="str">
        <f t="shared" si="1"/>
        <v>diagnose firewall iprope lookup 10.201.29.15 8443 10.201.1.28 8443 tcp E2-EH-CTX-APPS</v>
      </c>
    </row>
    <row r="36" spans="1:17" x14ac:dyDescent="0.3">
      <c r="A36" t="s">
        <v>12</v>
      </c>
      <c r="B36" t="s">
        <v>13</v>
      </c>
      <c r="C36" t="s">
        <v>69</v>
      </c>
      <c r="D36" t="s">
        <v>70</v>
      </c>
      <c r="E36" t="s">
        <v>178</v>
      </c>
      <c r="I36" t="s">
        <v>16</v>
      </c>
      <c r="J36">
        <v>8443</v>
      </c>
      <c r="K36">
        <v>8443</v>
      </c>
      <c r="M36" t="s">
        <v>217</v>
      </c>
      <c r="N36" t="str">
        <f t="shared" si="0"/>
        <v>get router info routing-table details 10.201.29.79 | grep -f *</v>
      </c>
      <c r="O36" t="s">
        <v>218</v>
      </c>
      <c r="P36" t="s">
        <v>219</v>
      </c>
      <c r="Q36" t="str">
        <f t="shared" si="1"/>
        <v>diagnose firewall iprope lookup 10.201.29.79 8443 10.201.1.28 8443 tcp E2-EH-CTX-APPS</v>
      </c>
    </row>
    <row r="37" spans="1:17" x14ac:dyDescent="0.3">
      <c r="A37" t="s">
        <v>12</v>
      </c>
      <c r="B37" t="s">
        <v>13</v>
      </c>
      <c r="C37" t="s">
        <v>71</v>
      </c>
      <c r="D37" t="s">
        <v>70</v>
      </c>
      <c r="E37" t="s">
        <v>178</v>
      </c>
      <c r="I37" t="s">
        <v>16</v>
      </c>
      <c r="J37">
        <v>8080</v>
      </c>
      <c r="K37">
        <v>8080</v>
      </c>
      <c r="M37" t="s">
        <v>217</v>
      </c>
      <c r="N37" t="str">
        <f t="shared" si="0"/>
        <v>get router info routing-table details 10.201.29.79 | grep -f *</v>
      </c>
      <c r="O37" t="s">
        <v>218</v>
      </c>
      <c r="P37" t="s">
        <v>219</v>
      </c>
      <c r="Q37" t="str">
        <f t="shared" si="1"/>
        <v>diagnose firewall iprope lookup 10.201.29.79 8080 10.201.1.28 8080 tcp E2-EH-CTX-APPS</v>
      </c>
    </row>
    <row r="38" spans="1:17" x14ac:dyDescent="0.3">
      <c r="A38" t="s">
        <v>12</v>
      </c>
      <c r="B38" t="s">
        <v>13</v>
      </c>
      <c r="C38" t="s">
        <v>72</v>
      </c>
      <c r="D38" t="s">
        <v>73</v>
      </c>
      <c r="E38" t="s">
        <v>179</v>
      </c>
      <c r="I38" t="s">
        <v>16</v>
      </c>
      <c r="J38">
        <v>8443</v>
      </c>
      <c r="K38">
        <v>8443</v>
      </c>
      <c r="M38" t="s">
        <v>217</v>
      </c>
      <c r="N38" t="str">
        <f t="shared" si="0"/>
        <v>get router info routing-table details 10.222.64.105 | grep -f *</v>
      </c>
      <c r="O38" t="s">
        <v>218</v>
      </c>
      <c r="P38" t="s">
        <v>220</v>
      </c>
      <c r="Q38" t="str">
        <f t="shared" si="1"/>
        <v>diagnose firewall iprope lookup 10.222.64.105 8443 10.201.1.28 8443 tcp EH-VDI</v>
      </c>
    </row>
    <row r="39" spans="1:17" x14ac:dyDescent="0.3">
      <c r="A39" t="s">
        <v>12</v>
      </c>
      <c r="B39" t="s">
        <v>13</v>
      </c>
      <c r="C39" t="s">
        <v>74</v>
      </c>
      <c r="D39" t="s">
        <v>75</v>
      </c>
      <c r="E39" t="s">
        <v>180</v>
      </c>
      <c r="I39" t="s">
        <v>16</v>
      </c>
      <c r="J39">
        <v>8443</v>
      </c>
      <c r="K39">
        <v>8443</v>
      </c>
      <c r="M39" t="s">
        <v>217</v>
      </c>
      <c r="N39" t="str">
        <f t="shared" si="0"/>
        <v>get router info routing-table details 10.201.29.35 | grep -f *</v>
      </c>
      <c r="O39" t="s">
        <v>218</v>
      </c>
      <c r="P39" t="s">
        <v>219</v>
      </c>
      <c r="Q39" t="str">
        <f t="shared" si="1"/>
        <v>diagnose firewall iprope lookup 10.201.29.35 8443 10.201.1.28 8443 tcp E2-EH-CTX-APPS</v>
      </c>
    </row>
    <row r="40" spans="1:17" x14ac:dyDescent="0.3">
      <c r="A40" t="s">
        <v>12</v>
      </c>
      <c r="B40" t="s">
        <v>13</v>
      </c>
      <c r="C40" t="s">
        <v>76</v>
      </c>
      <c r="D40" t="s">
        <v>75</v>
      </c>
      <c r="E40" t="s">
        <v>180</v>
      </c>
      <c r="I40" t="s">
        <v>16</v>
      </c>
      <c r="J40">
        <v>8080</v>
      </c>
      <c r="K40">
        <v>8080</v>
      </c>
      <c r="M40" t="s">
        <v>217</v>
      </c>
      <c r="N40" t="str">
        <f t="shared" si="0"/>
        <v>get router info routing-table details 10.201.29.35 | grep -f *</v>
      </c>
      <c r="O40" t="s">
        <v>218</v>
      </c>
      <c r="P40" t="s">
        <v>219</v>
      </c>
      <c r="Q40" t="str">
        <f t="shared" si="1"/>
        <v>diagnose firewall iprope lookup 10.201.29.35 8080 10.201.1.28 8080 tcp E2-EH-CTX-APPS</v>
      </c>
    </row>
    <row r="41" spans="1:17" x14ac:dyDescent="0.3">
      <c r="A41" t="s">
        <v>12</v>
      </c>
      <c r="B41" t="s">
        <v>13</v>
      </c>
      <c r="C41" t="s">
        <v>77</v>
      </c>
      <c r="D41" t="s">
        <v>78</v>
      </c>
      <c r="E41" t="s">
        <v>181</v>
      </c>
      <c r="I41" t="s">
        <v>16</v>
      </c>
      <c r="J41">
        <v>22</v>
      </c>
      <c r="K41">
        <v>22</v>
      </c>
      <c r="M41" t="s">
        <v>217</v>
      </c>
      <c r="N41" t="str">
        <f t="shared" si="0"/>
        <v>get router info routing-table details 10.222.210.166 | grep -f *</v>
      </c>
      <c r="O41" t="s">
        <v>218</v>
      </c>
      <c r="P41" t="s">
        <v>222</v>
      </c>
      <c r="Q41" t="str">
        <f t="shared" si="1"/>
        <v>diagnose firewall iprope lookup 10.222.210.166 22 10.201.1.28 22 tcp E2-EH-VPN</v>
      </c>
    </row>
    <row r="42" spans="1:17" x14ac:dyDescent="0.3">
      <c r="A42" t="s">
        <v>12</v>
      </c>
      <c r="B42" t="s">
        <v>13</v>
      </c>
      <c r="C42" t="s">
        <v>79</v>
      </c>
      <c r="D42" t="s">
        <v>80</v>
      </c>
      <c r="E42" t="s">
        <v>182</v>
      </c>
      <c r="I42" t="s">
        <v>16</v>
      </c>
      <c r="J42">
        <v>8443</v>
      </c>
      <c r="K42">
        <v>8443</v>
      </c>
      <c r="M42" t="s">
        <v>217</v>
      </c>
      <c r="N42" t="str">
        <f t="shared" si="0"/>
        <v>get router info routing-table details 10.222.129.54 | grep -f *</v>
      </c>
      <c r="O42" t="s">
        <v>218</v>
      </c>
      <c r="P42" t="s">
        <v>221</v>
      </c>
      <c r="Q42" t="str">
        <f t="shared" si="1"/>
        <v>diagnose firewall iprope lookup 10.222.129.54 8443 10.201.1.28 8443 tcp E2-EH-AGN</v>
      </c>
    </row>
    <row r="43" spans="1:17" x14ac:dyDescent="0.3">
      <c r="A43" t="s">
        <v>12</v>
      </c>
      <c r="B43" t="s">
        <v>13</v>
      </c>
      <c r="C43" t="s">
        <v>81</v>
      </c>
      <c r="D43" t="s">
        <v>82</v>
      </c>
      <c r="E43" t="s">
        <v>183</v>
      </c>
      <c r="I43" t="s">
        <v>16</v>
      </c>
      <c r="J43">
        <v>8443</v>
      </c>
      <c r="K43">
        <v>8443</v>
      </c>
      <c r="M43" t="s">
        <v>217</v>
      </c>
      <c r="N43" t="str">
        <f t="shared" si="0"/>
        <v>get router info routing-table details 10.199.102.180 | grep -f *</v>
      </c>
      <c r="O43" t="s">
        <v>218</v>
      </c>
      <c r="P43" t="s">
        <v>221</v>
      </c>
      <c r="Q43" t="str">
        <f t="shared" si="1"/>
        <v>diagnose firewall iprope lookup 10.199.102.180 8443 10.201.1.28 8443 tcp E2-EH-AGN</v>
      </c>
    </row>
    <row r="44" spans="1:17" x14ac:dyDescent="0.3">
      <c r="A44" t="s">
        <v>12</v>
      </c>
      <c r="B44" t="s">
        <v>13</v>
      </c>
      <c r="C44" t="s">
        <v>83</v>
      </c>
      <c r="D44" t="s">
        <v>82</v>
      </c>
      <c r="E44" t="s">
        <v>183</v>
      </c>
      <c r="I44" t="s">
        <v>16</v>
      </c>
      <c r="J44">
        <v>22</v>
      </c>
      <c r="K44">
        <v>22</v>
      </c>
      <c r="M44" t="s">
        <v>217</v>
      </c>
      <c r="N44" t="str">
        <f t="shared" si="0"/>
        <v>get router info routing-table details 10.199.102.180 | grep -f *</v>
      </c>
      <c r="O44" t="s">
        <v>218</v>
      </c>
      <c r="P44" t="s">
        <v>221</v>
      </c>
      <c r="Q44" t="str">
        <f t="shared" si="1"/>
        <v>diagnose firewall iprope lookup 10.199.102.180 22 10.201.1.28 22 tcp E2-EH-AGN</v>
      </c>
    </row>
    <row r="45" spans="1:17" x14ac:dyDescent="0.3">
      <c r="A45" t="s">
        <v>12</v>
      </c>
      <c r="B45" t="s">
        <v>13</v>
      </c>
      <c r="C45" t="s">
        <v>84</v>
      </c>
      <c r="D45" t="s">
        <v>85</v>
      </c>
      <c r="E45" t="s">
        <v>184</v>
      </c>
      <c r="I45" t="s">
        <v>16</v>
      </c>
      <c r="J45">
        <v>22</v>
      </c>
      <c r="K45">
        <v>22</v>
      </c>
      <c r="M45" t="s">
        <v>217</v>
      </c>
      <c r="N45" t="str">
        <f t="shared" si="0"/>
        <v>get router info routing-table details 10.196.65.49 | grep -f *</v>
      </c>
      <c r="O45" t="s">
        <v>218</v>
      </c>
      <c r="P45" t="s">
        <v>222</v>
      </c>
      <c r="Q45" t="str">
        <f t="shared" si="1"/>
        <v>diagnose firewall iprope lookup 10.196.65.49 22 10.201.1.28 22 tcp E2-EH-VPN</v>
      </c>
    </row>
    <row r="46" spans="1:17" x14ac:dyDescent="0.3">
      <c r="A46" t="s">
        <v>12</v>
      </c>
      <c r="B46" t="s">
        <v>13</v>
      </c>
      <c r="C46" t="s">
        <v>86</v>
      </c>
      <c r="D46" t="s">
        <v>87</v>
      </c>
      <c r="E46" t="s">
        <v>185</v>
      </c>
      <c r="I46" t="s">
        <v>16</v>
      </c>
      <c r="J46">
        <v>8443</v>
      </c>
      <c r="K46">
        <v>8443</v>
      </c>
      <c r="M46" t="s">
        <v>217</v>
      </c>
      <c r="N46" t="str">
        <f t="shared" si="0"/>
        <v>get router info routing-table details 10.222.73.41 | grep -f *</v>
      </c>
      <c r="O46" t="s">
        <v>218</v>
      </c>
      <c r="P46" t="s">
        <v>220</v>
      </c>
      <c r="Q46" t="str">
        <f t="shared" si="1"/>
        <v>diagnose firewall iprope lookup 10.222.73.41 8443 10.201.1.28 8443 tcp EH-VDI</v>
      </c>
    </row>
    <row r="47" spans="1:17" x14ac:dyDescent="0.3">
      <c r="A47" t="s">
        <v>12</v>
      </c>
      <c r="B47" t="s">
        <v>13</v>
      </c>
      <c r="C47" t="s">
        <v>88</v>
      </c>
      <c r="D47" t="s">
        <v>89</v>
      </c>
      <c r="E47" t="s">
        <v>186</v>
      </c>
      <c r="I47" t="s">
        <v>16</v>
      </c>
      <c r="J47">
        <v>8080</v>
      </c>
      <c r="K47">
        <v>8080</v>
      </c>
      <c r="M47" t="s">
        <v>217</v>
      </c>
      <c r="N47" t="str">
        <f t="shared" si="0"/>
        <v>get router info routing-table details 10.201.29.10 | grep -f *</v>
      </c>
      <c r="O47" t="s">
        <v>218</v>
      </c>
      <c r="P47" t="s">
        <v>219</v>
      </c>
      <c r="Q47" t="str">
        <f t="shared" si="1"/>
        <v>diagnose firewall iprope lookup 10.201.29.10 8080 10.201.1.28 8080 tcp E2-EH-CTX-APPS</v>
      </c>
    </row>
    <row r="48" spans="1:17" x14ac:dyDescent="0.3">
      <c r="A48" t="s">
        <v>12</v>
      </c>
      <c r="B48" t="s">
        <v>13</v>
      </c>
      <c r="C48" t="s">
        <v>90</v>
      </c>
      <c r="D48" t="s">
        <v>89</v>
      </c>
      <c r="E48" t="s">
        <v>186</v>
      </c>
      <c r="I48" t="s">
        <v>16</v>
      </c>
      <c r="J48">
        <v>8443</v>
      </c>
      <c r="K48">
        <v>8443</v>
      </c>
      <c r="M48" t="s">
        <v>217</v>
      </c>
      <c r="N48" t="str">
        <f t="shared" si="0"/>
        <v>get router info routing-table details 10.201.29.10 | grep -f *</v>
      </c>
      <c r="O48" t="s">
        <v>218</v>
      </c>
      <c r="P48" t="s">
        <v>219</v>
      </c>
      <c r="Q48" t="str">
        <f t="shared" si="1"/>
        <v>diagnose firewall iprope lookup 10.201.29.10 8443 10.201.1.28 8443 tcp E2-EH-CTX-APPS</v>
      </c>
    </row>
    <row r="49" spans="1:17" x14ac:dyDescent="0.3">
      <c r="A49" t="s">
        <v>12</v>
      </c>
      <c r="B49" t="s">
        <v>13</v>
      </c>
      <c r="C49" t="s">
        <v>91</v>
      </c>
      <c r="D49" t="s">
        <v>92</v>
      </c>
      <c r="E49" t="s">
        <v>187</v>
      </c>
      <c r="I49" t="s">
        <v>16</v>
      </c>
      <c r="J49">
        <v>8443</v>
      </c>
      <c r="K49">
        <v>8443</v>
      </c>
      <c r="M49" t="s">
        <v>217</v>
      </c>
      <c r="N49" t="str">
        <f t="shared" si="0"/>
        <v>get router info routing-table details 10.222.64.106 | grep -f *</v>
      </c>
      <c r="O49" t="s">
        <v>218</v>
      </c>
      <c r="P49" t="s">
        <v>220</v>
      </c>
      <c r="Q49" t="str">
        <f t="shared" si="1"/>
        <v>diagnose firewall iprope lookup 10.222.64.106 8443 10.201.1.28 8443 tcp EH-VDI</v>
      </c>
    </row>
    <row r="50" spans="1:17" x14ac:dyDescent="0.3">
      <c r="A50" t="s">
        <v>12</v>
      </c>
      <c r="B50" t="s">
        <v>13</v>
      </c>
      <c r="C50" t="s">
        <v>93</v>
      </c>
      <c r="D50" t="s">
        <v>94</v>
      </c>
      <c r="E50" t="s">
        <v>188</v>
      </c>
      <c r="I50" t="s">
        <v>16</v>
      </c>
      <c r="J50">
        <v>8443</v>
      </c>
      <c r="K50">
        <v>8443</v>
      </c>
      <c r="M50" t="s">
        <v>217</v>
      </c>
      <c r="N50" t="str">
        <f t="shared" si="0"/>
        <v>get router info routing-table details 10.222.129.102 | grep -f *</v>
      </c>
      <c r="O50" t="s">
        <v>218</v>
      </c>
      <c r="P50" t="s">
        <v>221</v>
      </c>
      <c r="Q50" t="str">
        <f t="shared" si="1"/>
        <v>diagnose firewall iprope lookup 10.222.129.102 8443 10.201.1.28 8443 tcp E2-EH-AGN</v>
      </c>
    </row>
    <row r="51" spans="1:17" x14ac:dyDescent="0.3">
      <c r="A51" t="s">
        <v>12</v>
      </c>
      <c r="B51" t="s">
        <v>13</v>
      </c>
      <c r="C51" t="s">
        <v>95</v>
      </c>
      <c r="D51" t="s">
        <v>96</v>
      </c>
      <c r="E51" t="s">
        <v>189</v>
      </c>
      <c r="I51" t="s">
        <v>16</v>
      </c>
      <c r="J51">
        <v>22</v>
      </c>
      <c r="K51">
        <v>22</v>
      </c>
      <c r="M51" t="s">
        <v>217</v>
      </c>
      <c r="N51" t="str">
        <f t="shared" si="0"/>
        <v>get router info routing-table details 10.17.42.6 | grep -f *</v>
      </c>
      <c r="O51" t="s">
        <v>218</v>
      </c>
      <c r="P51" t="s">
        <v>221</v>
      </c>
      <c r="Q51" t="str">
        <f t="shared" si="1"/>
        <v>diagnose firewall iprope lookup 10.17.42.6 22 10.201.1.28 22 tcp E2-EH-AGN</v>
      </c>
    </row>
    <row r="52" spans="1:17" x14ac:dyDescent="0.3">
      <c r="A52" t="s">
        <v>12</v>
      </c>
      <c r="B52" t="s">
        <v>13</v>
      </c>
      <c r="C52" t="s">
        <v>97</v>
      </c>
      <c r="D52" t="s">
        <v>98</v>
      </c>
      <c r="E52" t="s">
        <v>190</v>
      </c>
      <c r="I52" t="s">
        <v>16</v>
      </c>
      <c r="J52">
        <v>22</v>
      </c>
      <c r="K52">
        <v>22</v>
      </c>
      <c r="M52" t="s">
        <v>217</v>
      </c>
      <c r="N52" t="str">
        <f t="shared" si="0"/>
        <v>get router info routing-table details 10.72.42.5 | grep -f *</v>
      </c>
      <c r="O52" t="s">
        <v>218</v>
      </c>
      <c r="P52" t="s">
        <v>221</v>
      </c>
      <c r="Q52" t="str">
        <f t="shared" si="1"/>
        <v>diagnose firewall iprope lookup 10.72.42.5 22 10.201.1.28 22 tcp E2-EH-AGN</v>
      </c>
    </row>
    <row r="53" spans="1:17" x14ac:dyDescent="0.3">
      <c r="A53" t="s">
        <v>12</v>
      </c>
      <c r="B53" t="s">
        <v>13</v>
      </c>
      <c r="C53" t="s">
        <v>99</v>
      </c>
      <c r="D53" t="s">
        <v>100</v>
      </c>
      <c r="E53" t="s">
        <v>191</v>
      </c>
      <c r="I53" t="s">
        <v>16</v>
      </c>
      <c r="J53">
        <v>8443</v>
      </c>
      <c r="K53">
        <v>8443</v>
      </c>
      <c r="M53" t="s">
        <v>217</v>
      </c>
      <c r="N53" t="str">
        <f t="shared" si="0"/>
        <v>get router info routing-table details 10.199.99.169 | grep -f *</v>
      </c>
      <c r="O53" t="s">
        <v>218</v>
      </c>
      <c r="P53" t="s">
        <v>221</v>
      </c>
      <c r="Q53" t="str">
        <f t="shared" si="1"/>
        <v>diagnose firewall iprope lookup 10.199.99.169 8443 10.201.1.28 8443 tcp E2-EH-AGN</v>
      </c>
    </row>
    <row r="54" spans="1:17" x14ac:dyDescent="0.3">
      <c r="A54" t="s">
        <v>12</v>
      </c>
      <c r="B54" t="s">
        <v>13</v>
      </c>
      <c r="C54" t="s">
        <v>101</v>
      </c>
      <c r="D54" t="s">
        <v>100</v>
      </c>
      <c r="E54" t="s">
        <v>191</v>
      </c>
      <c r="I54" t="s">
        <v>16</v>
      </c>
      <c r="J54">
        <v>9990</v>
      </c>
      <c r="K54">
        <v>9990</v>
      </c>
      <c r="M54" t="s">
        <v>217</v>
      </c>
      <c r="N54" t="str">
        <f t="shared" si="0"/>
        <v>get router info routing-table details 10.199.99.169 | grep -f *</v>
      </c>
      <c r="O54" t="s">
        <v>218</v>
      </c>
      <c r="P54" t="s">
        <v>221</v>
      </c>
      <c r="Q54" t="str">
        <f t="shared" si="1"/>
        <v>diagnose firewall iprope lookup 10.199.99.169 9990 10.201.1.28 9990 tcp E2-EH-AGN</v>
      </c>
    </row>
    <row r="55" spans="1:17" x14ac:dyDescent="0.3">
      <c r="A55" t="s">
        <v>12</v>
      </c>
      <c r="B55" t="s">
        <v>13</v>
      </c>
      <c r="C55" t="s">
        <v>102</v>
      </c>
      <c r="D55" t="s">
        <v>103</v>
      </c>
      <c r="E55" t="s">
        <v>192</v>
      </c>
      <c r="I55" t="s">
        <v>16</v>
      </c>
      <c r="J55">
        <v>8443</v>
      </c>
      <c r="K55">
        <v>8443</v>
      </c>
      <c r="M55" t="s">
        <v>217</v>
      </c>
      <c r="N55" t="str">
        <f t="shared" si="0"/>
        <v>get router info routing-table details 10.201.29.18 | grep -f *</v>
      </c>
      <c r="O55" t="s">
        <v>218</v>
      </c>
      <c r="P55" t="s">
        <v>219</v>
      </c>
      <c r="Q55" t="str">
        <f t="shared" si="1"/>
        <v>diagnose firewall iprope lookup 10.201.29.18 8443 10.201.1.28 8443 tcp E2-EH-CTX-APPS</v>
      </c>
    </row>
    <row r="56" spans="1:17" x14ac:dyDescent="0.3">
      <c r="A56" t="s">
        <v>12</v>
      </c>
      <c r="B56" t="s">
        <v>13</v>
      </c>
      <c r="C56" t="s">
        <v>104</v>
      </c>
      <c r="D56" t="s">
        <v>103</v>
      </c>
      <c r="E56" t="s">
        <v>192</v>
      </c>
      <c r="I56" t="s">
        <v>16</v>
      </c>
      <c r="J56">
        <v>8080</v>
      </c>
      <c r="K56">
        <v>8080</v>
      </c>
      <c r="M56" t="s">
        <v>217</v>
      </c>
      <c r="N56" t="str">
        <f t="shared" si="0"/>
        <v>get router info routing-table details 10.201.29.18 | grep -f *</v>
      </c>
      <c r="O56" t="s">
        <v>218</v>
      </c>
      <c r="P56" t="s">
        <v>219</v>
      </c>
      <c r="Q56" t="str">
        <f t="shared" si="1"/>
        <v>diagnose firewall iprope lookup 10.201.29.18 8080 10.201.1.28 8080 tcp E2-EH-CTX-APPS</v>
      </c>
    </row>
    <row r="57" spans="1:17" x14ac:dyDescent="0.3">
      <c r="A57" t="s">
        <v>12</v>
      </c>
      <c r="B57" t="s">
        <v>13</v>
      </c>
      <c r="C57" t="s">
        <v>105</v>
      </c>
      <c r="D57" t="s">
        <v>106</v>
      </c>
      <c r="E57" t="s">
        <v>193</v>
      </c>
      <c r="I57" t="s">
        <v>16</v>
      </c>
      <c r="J57">
        <v>8443</v>
      </c>
      <c r="K57">
        <v>8443</v>
      </c>
      <c r="M57" t="s">
        <v>217</v>
      </c>
      <c r="N57" t="str">
        <f t="shared" si="0"/>
        <v>get router info routing-table details 10.199.99.217 | grep -f *</v>
      </c>
      <c r="O57" t="s">
        <v>218</v>
      </c>
      <c r="P57" t="s">
        <v>221</v>
      </c>
      <c r="Q57" t="str">
        <f t="shared" si="1"/>
        <v>diagnose firewall iprope lookup 10.199.99.217 8443 10.201.1.28 8443 tcp E2-EH-AGN</v>
      </c>
    </row>
    <row r="58" spans="1:17" x14ac:dyDescent="0.3">
      <c r="A58" t="s">
        <v>12</v>
      </c>
      <c r="B58" t="s">
        <v>13</v>
      </c>
      <c r="C58" t="s">
        <v>107</v>
      </c>
      <c r="D58" t="s">
        <v>106</v>
      </c>
      <c r="E58" t="s">
        <v>193</v>
      </c>
      <c r="I58" t="s">
        <v>16</v>
      </c>
      <c r="J58">
        <v>9990</v>
      </c>
      <c r="K58">
        <v>9990</v>
      </c>
      <c r="M58" t="s">
        <v>217</v>
      </c>
      <c r="N58" t="str">
        <f t="shared" si="0"/>
        <v>get router info routing-table details 10.199.99.217 | grep -f *</v>
      </c>
      <c r="O58" t="s">
        <v>218</v>
      </c>
      <c r="P58" t="s">
        <v>221</v>
      </c>
      <c r="Q58" t="str">
        <f t="shared" si="1"/>
        <v>diagnose firewall iprope lookup 10.199.99.217 9990 10.201.1.28 9990 tcp E2-EH-AGN</v>
      </c>
    </row>
    <row r="59" spans="1:17" x14ac:dyDescent="0.3">
      <c r="A59" t="s">
        <v>12</v>
      </c>
      <c r="B59" t="s">
        <v>13</v>
      </c>
      <c r="C59" t="s">
        <v>108</v>
      </c>
      <c r="D59" t="s">
        <v>106</v>
      </c>
      <c r="E59" t="s">
        <v>193</v>
      </c>
      <c r="I59" t="s">
        <v>16</v>
      </c>
      <c r="J59">
        <v>22</v>
      </c>
      <c r="K59">
        <v>22</v>
      </c>
      <c r="M59" t="s">
        <v>217</v>
      </c>
      <c r="N59" t="str">
        <f t="shared" si="0"/>
        <v>get router info routing-table details 10.199.99.217 | grep -f *</v>
      </c>
      <c r="O59" t="s">
        <v>218</v>
      </c>
      <c r="P59" t="s">
        <v>221</v>
      </c>
      <c r="Q59" t="str">
        <f t="shared" si="1"/>
        <v>diagnose firewall iprope lookup 10.199.99.217 22 10.201.1.28 22 tcp E2-EH-AGN</v>
      </c>
    </row>
    <row r="60" spans="1:17" x14ac:dyDescent="0.3">
      <c r="A60" t="s">
        <v>12</v>
      </c>
      <c r="B60" t="s">
        <v>13</v>
      </c>
      <c r="C60" t="s">
        <v>109</v>
      </c>
      <c r="D60" t="s">
        <v>110</v>
      </c>
      <c r="E60" t="s">
        <v>194</v>
      </c>
      <c r="I60" t="s">
        <v>16</v>
      </c>
      <c r="J60">
        <v>8443</v>
      </c>
      <c r="K60">
        <v>8443</v>
      </c>
      <c r="M60" t="s">
        <v>217</v>
      </c>
      <c r="N60" t="str">
        <f t="shared" si="0"/>
        <v>get router info routing-table details 10.222.64.149 | grep -f *</v>
      </c>
      <c r="O60" t="s">
        <v>218</v>
      </c>
      <c r="P60" t="s">
        <v>220</v>
      </c>
      <c r="Q60" t="str">
        <f t="shared" si="1"/>
        <v>diagnose firewall iprope lookup 10.222.64.149 8443 10.201.1.28 8443 tcp EH-VDI</v>
      </c>
    </row>
    <row r="61" spans="1:17" x14ac:dyDescent="0.3">
      <c r="A61" t="s">
        <v>12</v>
      </c>
      <c r="B61" t="s">
        <v>13</v>
      </c>
      <c r="C61" t="s">
        <v>111</v>
      </c>
      <c r="D61" t="s">
        <v>112</v>
      </c>
      <c r="E61" t="s">
        <v>195</v>
      </c>
      <c r="I61" t="s">
        <v>16</v>
      </c>
      <c r="J61">
        <v>8443</v>
      </c>
      <c r="K61">
        <v>8443</v>
      </c>
      <c r="M61" t="s">
        <v>217</v>
      </c>
      <c r="N61" t="str">
        <f t="shared" si="0"/>
        <v>get router info routing-table details 10.222.133.232 | grep -f *</v>
      </c>
      <c r="O61" t="s">
        <v>218</v>
      </c>
      <c r="P61" t="s">
        <v>221</v>
      </c>
      <c r="Q61" t="str">
        <f t="shared" si="1"/>
        <v>diagnose firewall iprope lookup 10.222.133.232 8443 10.201.1.28 8443 tcp E2-EH-AGN</v>
      </c>
    </row>
    <row r="62" spans="1:17" x14ac:dyDescent="0.3">
      <c r="A62" t="s">
        <v>12</v>
      </c>
      <c r="B62" t="s">
        <v>13</v>
      </c>
      <c r="C62" t="s">
        <v>113</v>
      </c>
      <c r="D62" t="s">
        <v>114</v>
      </c>
      <c r="E62" t="s">
        <v>196</v>
      </c>
      <c r="I62" t="s">
        <v>16</v>
      </c>
      <c r="J62">
        <v>8443</v>
      </c>
      <c r="K62">
        <v>8443</v>
      </c>
      <c r="M62" t="s">
        <v>217</v>
      </c>
      <c r="N62" t="str">
        <f t="shared" si="0"/>
        <v>get router info routing-table details 10.222.65.208 | grep -f *</v>
      </c>
      <c r="O62" t="s">
        <v>218</v>
      </c>
      <c r="P62" t="s">
        <v>220</v>
      </c>
      <c r="Q62" t="str">
        <f t="shared" si="1"/>
        <v>diagnose firewall iprope lookup 10.222.65.208 8443 10.201.1.28 8443 tcp EH-VDI</v>
      </c>
    </row>
    <row r="63" spans="1:17" x14ac:dyDescent="0.3">
      <c r="A63" t="s">
        <v>12</v>
      </c>
      <c r="B63" t="s">
        <v>13</v>
      </c>
      <c r="C63" t="s">
        <v>115</v>
      </c>
      <c r="D63" t="s">
        <v>116</v>
      </c>
      <c r="E63" t="s">
        <v>197</v>
      </c>
      <c r="I63" t="s">
        <v>16</v>
      </c>
      <c r="J63">
        <v>8443</v>
      </c>
      <c r="K63">
        <v>8443</v>
      </c>
      <c r="M63" t="s">
        <v>217</v>
      </c>
      <c r="N63" t="str">
        <f t="shared" si="0"/>
        <v>get router info routing-table details 10.199.99.40 | grep -f *</v>
      </c>
      <c r="O63" t="s">
        <v>218</v>
      </c>
      <c r="P63" t="s">
        <v>221</v>
      </c>
      <c r="Q63" t="str">
        <f t="shared" si="1"/>
        <v>diagnose firewall iprope lookup 10.199.99.40 8443 10.201.1.28 8443 tcp E2-EH-AGN</v>
      </c>
    </row>
    <row r="64" spans="1:17" x14ac:dyDescent="0.3">
      <c r="A64" t="s">
        <v>12</v>
      </c>
      <c r="B64" t="s">
        <v>13</v>
      </c>
      <c r="C64" t="s">
        <v>117</v>
      </c>
      <c r="D64" t="s">
        <v>118</v>
      </c>
      <c r="E64" t="s">
        <v>198</v>
      </c>
      <c r="I64" t="s">
        <v>16</v>
      </c>
      <c r="J64">
        <v>8443</v>
      </c>
      <c r="K64">
        <v>8443</v>
      </c>
      <c r="M64" t="s">
        <v>217</v>
      </c>
      <c r="N64" t="str">
        <f t="shared" si="0"/>
        <v>get router info routing-table details 10.199.102.183 | grep -f *</v>
      </c>
      <c r="O64" t="s">
        <v>218</v>
      </c>
      <c r="P64" t="s">
        <v>221</v>
      </c>
      <c r="Q64" t="str">
        <f t="shared" si="1"/>
        <v>diagnose firewall iprope lookup 10.199.102.183 8443 10.201.1.28 8443 tcp E2-EH-AGN</v>
      </c>
    </row>
    <row r="65" spans="1:17" x14ac:dyDescent="0.3">
      <c r="A65" t="s">
        <v>12</v>
      </c>
      <c r="B65" t="s">
        <v>13</v>
      </c>
      <c r="C65" t="s">
        <v>119</v>
      </c>
      <c r="D65" t="s">
        <v>120</v>
      </c>
      <c r="E65" t="s">
        <v>199</v>
      </c>
      <c r="I65" t="s">
        <v>16</v>
      </c>
      <c r="J65">
        <v>8080</v>
      </c>
      <c r="K65">
        <v>8080</v>
      </c>
      <c r="M65" t="s">
        <v>217</v>
      </c>
      <c r="N65" t="str">
        <f t="shared" si="0"/>
        <v>get router info routing-table details 10.222.128.78 | grep -f *</v>
      </c>
      <c r="O65" t="s">
        <v>218</v>
      </c>
      <c r="P65" t="s">
        <v>221</v>
      </c>
      <c r="Q65" t="str">
        <f t="shared" si="1"/>
        <v>diagnose firewall iprope lookup 10.222.128.78 8080 10.201.1.28 8080 tcp E2-EH-AGN</v>
      </c>
    </row>
    <row r="66" spans="1:17" x14ac:dyDescent="0.3">
      <c r="A66" t="s">
        <v>12</v>
      </c>
      <c r="B66" t="s">
        <v>13</v>
      </c>
      <c r="C66" t="s">
        <v>121</v>
      </c>
      <c r="D66" t="s">
        <v>122</v>
      </c>
      <c r="E66" t="s">
        <v>200</v>
      </c>
      <c r="I66" t="s">
        <v>16</v>
      </c>
      <c r="J66">
        <v>8080</v>
      </c>
      <c r="K66">
        <v>8080</v>
      </c>
      <c r="M66" t="s">
        <v>217</v>
      </c>
      <c r="N66" t="str">
        <f t="shared" si="0"/>
        <v>get router info routing-table details 10.201.29.82 | grep -f *</v>
      </c>
      <c r="O66" t="s">
        <v>218</v>
      </c>
      <c r="P66" t="s">
        <v>219</v>
      </c>
      <c r="Q66" t="str">
        <f t="shared" si="1"/>
        <v>diagnose firewall iprope lookup 10.201.29.82 8080 10.201.1.28 8080 tcp E2-EH-CTX-APPS</v>
      </c>
    </row>
    <row r="67" spans="1:17" x14ac:dyDescent="0.3">
      <c r="A67" t="s">
        <v>12</v>
      </c>
      <c r="B67" t="s">
        <v>13</v>
      </c>
      <c r="C67" t="s">
        <v>123</v>
      </c>
      <c r="D67" t="s">
        <v>122</v>
      </c>
      <c r="E67" t="s">
        <v>200</v>
      </c>
      <c r="I67" t="s">
        <v>16</v>
      </c>
      <c r="J67">
        <v>8443</v>
      </c>
      <c r="K67">
        <v>8443</v>
      </c>
      <c r="M67" t="s">
        <v>217</v>
      </c>
      <c r="N67" t="str">
        <f t="shared" ref="N67:N86" si="2">_xlfn.CONCAT(M67," ",E67, " | grep -f *")</f>
        <v>get router info routing-table details 10.201.29.82 | grep -f *</v>
      </c>
      <c r="O67" t="s">
        <v>218</v>
      </c>
      <c r="P67" t="s">
        <v>219</v>
      </c>
      <c r="Q67" t="str">
        <f t="shared" ref="Q67:Q86" si="3">_xlfn.CONCAT(O67," ",E67," ",J67," 10.201.1.28 ",K67, " tcp ",P67,"")</f>
        <v>diagnose firewall iprope lookup 10.201.29.82 8443 10.201.1.28 8443 tcp E2-EH-CTX-APPS</v>
      </c>
    </row>
    <row r="68" spans="1:17" x14ac:dyDescent="0.3">
      <c r="A68" t="s">
        <v>12</v>
      </c>
      <c r="B68" t="s">
        <v>13</v>
      </c>
      <c r="C68" t="s">
        <v>124</v>
      </c>
      <c r="D68" t="s">
        <v>125</v>
      </c>
      <c r="E68" t="s">
        <v>201</v>
      </c>
      <c r="I68" t="s">
        <v>16</v>
      </c>
      <c r="J68">
        <v>8080</v>
      </c>
      <c r="K68">
        <v>8080</v>
      </c>
      <c r="M68" t="s">
        <v>217</v>
      </c>
      <c r="N68" t="str">
        <f t="shared" si="2"/>
        <v>get router info routing-table details 10.222.128.59 | grep -f *</v>
      </c>
      <c r="O68" t="s">
        <v>218</v>
      </c>
      <c r="P68" t="s">
        <v>221</v>
      </c>
      <c r="Q68" t="str">
        <f t="shared" si="3"/>
        <v>diagnose firewall iprope lookup 10.222.128.59 8080 10.201.1.28 8080 tcp E2-EH-AGN</v>
      </c>
    </row>
    <row r="69" spans="1:17" x14ac:dyDescent="0.3">
      <c r="A69" t="s">
        <v>12</v>
      </c>
      <c r="B69" t="s">
        <v>13</v>
      </c>
      <c r="C69" t="s">
        <v>126</v>
      </c>
      <c r="D69" t="s">
        <v>127</v>
      </c>
      <c r="E69" t="s">
        <v>202</v>
      </c>
      <c r="I69" t="s">
        <v>16</v>
      </c>
      <c r="J69">
        <v>8443</v>
      </c>
      <c r="K69">
        <v>8443</v>
      </c>
      <c r="M69" t="s">
        <v>217</v>
      </c>
      <c r="N69" t="str">
        <f t="shared" si="2"/>
        <v>get router info routing-table details 10.222.64.71 | grep -f *</v>
      </c>
      <c r="O69" t="s">
        <v>218</v>
      </c>
      <c r="P69" t="s">
        <v>220</v>
      </c>
      <c r="Q69" t="str">
        <f t="shared" si="3"/>
        <v>diagnose firewall iprope lookup 10.222.64.71 8443 10.201.1.28 8443 tcp EH-VDI</v>
      </c>
    </row>
    <row r="70" spans="1:17" x14ac:dyDescent="0.3">
      <c r="A70" t="s">
        <v>12</v>
      </c>
      <c r="B70" t="s">
        <v>13</v>
      </c>
      <c r="C70" t="s">
        <v>128</v>
      </c>
      <c r="D70" t="s">
        <v>129</v>
      </c>
      <c r="E70" t="s">
        <v>203</v>
      </c>
      <c r="I70" t="s">
        <v>16</v>
      </c>
      <c r="J70">
        <v>8443</v>
      </c>
      <c r="K70">
        <v>8443</v>
      </c>
      <c r="M70" t="s">
        <v>217</v>
      </c>
      <c r="N70" t="str">
        <f t="shared" si="2"/>
        <v>get router info routing-table details 10.222.65.106 | grep -f *</v>
      </c>
      <c r="O70" t="s">
        <v>218</v>
      </c>
      <c r="P70" t="s">
        <v>220</v>
      </c>
      <c r="Q70" t="str">
        <f t="shared" si="3"/>
        <v>diagnose firewall iprope lookup 10.222.65.106 8443 10.201.1.28 8443 tcp EH-VDI</v>
      </c>
    </row>
    <row r="71" spans="1:17" x14ac:dyDescent="0.3">
      <c r="A71" t="s">
        <v>12</v>
      </c>
      <c r="B71" t="s">
        <v>13</v>
      </c>
      <c r="C71" t="s">
        <v>130</v>
      </c>
      <c r="D71" t="s">
        <v>131</v>
      </c>
      <c r="E71" t="s">
        <v>204</v>
      </c>
      <c r="I71" t="s">
        <v>16</v>
      </c>
      <c r="J71">
        <v>8443</v>
      </c>
      <c r="K71">
        <v>8443</v>
      </c>
      <c r="M71" t="s">
        <v>217</v>
      </c>
      <c r="N71" t="str">
        <f t="shared" si="2"/>
        <v>get router info routing-table details 10.222.72.247 | grep -f *</v>
      </c>
      <c r="O71" t="s">
        <v>218</v>
      </c>
      <c r="P71" t="s">
        <v>220</v>
      </c>
      <c r="Q71" t="str">
        <f t="shared" si="3"/>
        <v>diagnose firewall iprope lookup 10.222.72.247 8443 10.201.1.28 8443 tcp EH-VDI</v>
      </c>
    </row>
    <row r="72" spans="1:17" x14ac:dyDescent="0.3">
      <c r="A72" t="s">
        <v>12</v>
      </c>
      <c r="B72" t="s">
        <v>13</v>
      </c>
      <c r="C72" t="s">
        <v>132</v>
      </c>
      <c r="D72" t="s">
        <v>133</v>
      </c>
      <c r="E72" t="s">
        <v>205</v>
      </c>
      <c r="I72" t="s">
        <v>16</v>
      </c>
      <c r="J72">
        <v>8443</v>
      </c>
      <c r="K72">
        <v>8443</v>
      </c>
      <c r="M72" t="s">
        <v>217</v>
      </c>
      <c r="N72" t="str">
        <f t="shared" si="2"/>
        <v>get router info routing-table details 10.222.64.77 | grep -f *</v>
      </c>
      <c r="O72" t="s">
        <v>218</v>
      </c>
      <c r="P72" t="s">
        <v>220</v>
      </c>
      <c r="Q72" t="str">
        <f t="shared" si="3"/>
        <v>diagnose firewall iprope lookup 10.222.64.77 8443 10.201.1.28 8443 tcp EH-VDI</v>
      </c>
    </row>
    <row r="73" spans="1:17" x14ac:dyDescent="0.3">
      <c r="A73" t="s">
        <v>12</v>
      </c>
      <c r="B73" t="s">
        <v>13</v>
      </c>
      <c r="C73" t="s">
        <v>134</v>
      </c>
      <c r="D73" t="s">
        <v>135</v>
      </c>
      <c r="E73" t="s">
        <v>206</v>
      </c>
      <c r="I73" t="s">
        <v>16</v>
      </c>
      <c r="J73">
        <v>22</v>
      </c>
      <c r="K73">
        <v>22</v>
      </c>
      <c r="M73" t="s">
        <v>217</v>
      </c>
      <c r="N73" t="str">
        <f t="shared" si="2"/>
        <v>get router info routing-table details 10.199.99.150 | grep -f *</v>
      </c>
      <c r="O73" t="s">
        <v>218</v>
      </c>
      <c r="P73" t="s">
        <v>221</v>
      </c>
      <c r="Q73" t="str">
        <f t="shared" si="3"/>
        <v>diagnose firewall iprope lookup 10.199.99.150 22 10.201.1.28 22 tcp E2-EH-AGN</v>
      </c>
    </row>
    <row r="74" spans="1:17" x14ac:dyDescent="0.3">
      <c r="A74" t="s">
        <v>12</v>
      </c>
      <c r="B74" t="s">
        <v>13</v>
      </c>
      <c r="C74" t="s">
        <v>136</v>
      </c>
      <c r="D74" t="s">
        <v>135</v>
      </c>
      <c r="E74" t="s">
        <v>206</v>
      </c>
      <c r="I74" t="s">
        <v>16</v>
      </c>
      <c r="J74">
        <v>8443</v>
      </c>
      <c r="K74">
        <v>8443</v>
      </c>
      <c r="M74" t="s">
        <v>217</v>
      </c>
      <c r="N74" t="str">
        <f t="shared" si="2"/>
        <v>get router info routing-table details 10.199.99.150 | grep -f *</v>
      </c>
      <c r="O74" t="s">
        <v>218</v>
      </c>
      <c r="P74" t="s">
        <v>221</v>
      </c>
      <c r="Q74" t="str">
        <f t="shared" si="3"/>
        <v>diagnose firewall iprope lookup 10.199.99.150 8443 10.201.1.28 8443 tcp E2-EH-AGN</v>
      </c>
    </row>
    <row r="75" spans="1:17" x14ac:dyDescent="0.3">
      <c r="A75" t="s">
        <v>12</v>
      </c>
      <c r="B75" t="s">
        <v>13</v>
      </c>
      <c r="C75" t="s">
        <v>137</v>
      </c>
      <c r="D75" t="s">
        <v>138</v>
      </c>
      <c r="E75" t="s">
        <v>207</v>
      </c>
      <c r="I75" t="s">
        <v>16</v>
      </c>
      <c r="J75">
        <v>8443</v>
      </c>
      <c r="K75">
        <v>8443</v>
      </c>
      <c r="M75" t="s">
        <v>217</v>
      </c>
      <c r="N75" t="str">
        <f t="shared" si="2"/>
        <v>get router info routing-table details 10.222.128.3 | grep -f *</v>
      </c>
      <c r="O75" t="s">
        <v>218</v>
      </c>
      <c r="P75" t="s">
        <v>221</v>
      </c>
      <c r="Q75" t="str">
        <f t="shared" si="3"/>
        <v>diagnose firewall iprope lookup 10.222.128.3 8443 10.201.1.28 8443 tcp E2-EH-AGN</v>
      </c>
    </row>
    <row r="76" spans="1:17" x14ac:dyDescent="0.3">
      <c r="A76" t="s">
        <v>12</v>
      </c>
      <c r="B76" t="s">
        <v>13</v>
      </c>
      <c r="C76" t="s">
        <v>139</v>
      </c>
      <c r="D76" t="s">
        <v>138</v>
      </c>
      <c r="E76" t="s">
        <v>207</v>
      </c>
      <c r="I76" t="s">
        <v>16</v>
      </c>
      <c r="J76">
        <v>8080</v>
      </c>
      <c r="K76">
        <v>8080</v>
      </c>
      <c r="M76" t="s">
        <v>217</v>
      </c>
      <c r="N76" t="str">
        <f t="shared" si="2"/>
        <v>get router info routing-table details 10.222.128.3 | grep -f *</v>
      </c>
      <c r="O76" t="s">
        <v>218</v>
      </c>
      <c r="P76" t="s">
        <v>221</v>
      </c>
      <c r="Q76" t="str">
        <f t="shared" si="3"/>
        <v>diagnose firewall iprope lookup 10.222.128.3 8080 10.201.1.28 8080 tcp E2-EH-AGN</v>
      </c>
    </row>
    <row r="77" spans="1:17" x14ac:dyDescent="0.3">
      <c r="A77" t="s">
        <v>12</v>
      </c>
      <c r="B77" t="s">
        <v>13</v>
      </c>
      <c r="C77" t="s">
        <v>140</v>
      </c>
      <c r="D77" t="s">
        <v>141</v>
      </c>
      <c r="E77" t="s">
        <v>208</v>
      </c>
      <c r="I77" t="s">
        <v>16</v>
      </c>
      <c r="J77">
        <v>8443</v>
      </c>
      <c r="K77">
        <v>8443</v>
      </c>
      <c r="M77" t="s">
        <v>217</v>
      </c>
      <c r="N77" t="str">
        <f t="shared" si="2"/>
        <v>get router info routing-table details 10.222.131.84 | grep -f *</v>
      </c>
      <c r="O77" t="s">
        <v>218</v>
      </c>
      <c r="P77" t="s">
        <v>221</v>
      </c>
      <c r="Q77" t="str">
        <f t="shared" si="3"/>
        <v>diagnose firewall iprope lookup 10.222.131.84 8443 10.201.1.28 8443 tcp E2-EH-AGN</v>
      </c>
    </row>
    <row r="78" spans="1:17" x14ac:dyDescent="0.3">
      <c r="A78" t="s">
        <v>12</v>
      </c>
      <c r="B78" t="s">
        <v>13</v>
      </c>
      <c r="C78" t="s">
        <v>142</v>
      </c>
      <c r="D78" t="s">
        <v>143</v>
      </c>
      <c r="E78" t="s">
        <v>209</v>
      </c>
      <c r="I78" t="s">
        <v>16</v>
      </c>
      <c r="J78">
        <v>8443</v>
      </c>
      <c r="K78">
        <v>8443</v>
      </c>
      <c r="M78" t="s">
        <v>217</v>
      </c>
      <c r="N78" t="str">
        <f t="shared" si="2"/>
        <v>get router info routing-table details 10.222.64.110 | grep -f *</v>
      </c>
      <c r="O78" t="s">
        <v>218</v>
      </c>
      <c r="P78" t="s">
        <v>220</v>
      </c>
      <c r="Q78" t="str">
        <f t="shared" si="3"/>
        <v>diagnose firewall iprope lookup 10.222.64.110 8443 10.201.1.28 8443 tcp EH-VDI</v>
      </c>
    </row>
    <row r="79" spans="1:17" x14ac:dyDescent="0.3">
      <c r="A79" t="s">
        <v>12</v>
      </c>
      <c r="B79" t="s">
        <v>13</v>
      </c>
      <c r="C79" t="s">
        <v>144</v>
      </c>
      <c r="D79" t="s">
        <v>143</v>
      </c>
      <c r="E79" t="s">
        <v>209</v>
      </c>
      <c r="I79" t="s">
        <v>16</v>
      </c>
      <c r="J79">
        <v>8080</v>
      </c>
      <c r="K79">
        <v>8080</v>
      </c>
      <c r="M79" t="s">
        <v>217</v>
      </c>
      <c r="N79" t="str">
        <f t="shared" si="2"/>
        <v>get router info routing-table details 10.222.64.110 | grep -f *</v>
      </c>
      <c r="O79" t="s">
        <v>218</v>
      </c>
      <c r="P79" t="s">
        <v>220</v>
      </c>
      <c r="Q79" t="str">
        <f t="shared" si="3"/>
        <v>diagnose firewall iprope lookup 10.222.64.110 8080 10.201.1.28 8080 tcp EH-VDI</v>
      </c>
    </row>
    <row r="80" spans="1:17" x14ac:dyDescent="0.3">
      <c r="A80" t="s">
        <v>12</v>
      </c>
      <c r="B80" t="s">
        <v>13</v>
      </c>
      <c r="C80" t="s">
        <v>145</v>
      </c>
      <c r="D80" t="s">
        <v>146</v>
      </c>
      <c r="E80" t="s">
        <v>210</v>
      </c>
      <c r="I80" t="s">
        <v>16</v>
      </c>
      <c r="J80">
        <v>8443</v>
      </c>
      <c r="K80">
        <v>8443</v>
      </c>
      <c r="M80" t="s">
        <v>217</v>
      </c>
      <c r="N80" t="str">
        <f t="shared" si="2"/>
        <v>get router info routing-table details 10.222.133.237 | grep -f *</v>
      </c>
      <c r="O80" t="s">
        <v>218</v>
      </c>
      <c r="P80" t="s">
        <v>221</v>
      </c>
      <c r="Q80" t="str">
        <f t="shared" si="3"/>
        <v>diagnose firewall iprope lookup 10.222.133.237 8443 10.201.1.28 8443 tcp E2-EH-AGN</v>
      </c>
    </row>
    <row r="81" spans="1:17" x14ac:dyDescent="0.3">
      <c r="A81" t="s">
        <v>12</v>
      </c>
      <c r="B81" t="s">
        <v>13</v>
      </c>
      <c r="C81" t="s">
        <v>147</v>
      </c>
      <c r="D81" t="s">
        <v>146</v>
      </c>
      <c r="E81" t="s">
        <v>210</v>
      </c>
      <c r="I81" t="s">
        <v>16</v>
      </c>
      <c r="J81">
        <v>8080</v>
      </c>
      <c r="K81">
        <v>8080</v>
      </c>
      <c r="M81" t="s">
        <v>217</v>
      </c>
      <c r="N81" t="str">
        <f t="shared" si="2"/>
        <v>get router info routing-table details 10.222.133.237 | grep -f *</v>
      </c>
      <c r="O81" t="s">
        <v>218</v>
      </c>
      <c r="P81" t="s">
        <v>221</v>
      </c>
      <c r="Q81" t="str">
        <f t="shared" si="3"/>
        <v>diagnose firewall iprope lookup 10.222.133.237 8080 10.201.1.28 8080 tcp E2-EH-AGN</v>
      </c>
    </row>
    <row r="82" spans="1:17" x14ac:dyDescent="0.3">
      <c r="A82" t="s">
        <v>12</v>
      </c>
      <c r="B82" t="s">
        <v>13</v>
      </c>
      <c r="C82" t="s">
        <v>148</v>
      </c>
      <c r="D82" t="s">
        <v>149</v>
      </c>
      <c r="E82" t="s">
        <v>211</v>
      </c>
      <c r="I82" t="s">
        <v>16</v>
      </c>
      <c r="J82">
        <v>8443</v>
      </c>
      <c r="K82">
        <v>8443</v>
      </c>
      <c r="M82" t="s">
        <v>217</v>
      </c>
      <c r="N82" t="str">
        <f t="shared" si="2"/>
        <v>get router info routing-table details 10.222.129.53 | grep -f *</v>
      </c>
      <c r="O82" t="s">
        <v>218</v>
      </c>
      <c r="P82" t="s">
        <v>221</v>
      </c>
      <c r="Q82" t="str">
        <f t="shared" si="3"/>
        <v>diagnose firewall iprope lookup 10.222.129.53 8443 10.201.1.28 8443 tcp E2-EH-AGN</v>
      </c>
    </row>
    <row r="83" spans="1:17" x14ac:dyDescent="0.3">
      <c r="A83" t="s">
        <v>12</v>
      </c>
      <c r="B83" t="s">
        <v>13</v>
      </c>
      <c r="C83" t="s">
        <v>150</v>
      </c>
      <c r="D83" t="s">
        <v>151</v>
      </c>
      <c r="E83" t="s">
        <v>212</v>
      </c>
      <c r="I83" t="s">
        <v>16</v>
      </c>
      <c r="J83">
        <v>8080</v>
      </c>
      <c r="K83">
        <v>8080</v>
      </c>
      <c r="M83" t="s">
        <v>217</v>
      </c>
      <c r="N83" t="str">
        <f t="shared" si="2"/>
        <v>get router info routing-table details 10.199.103.191 | grep -f *</v>
      </c>
      <c r="O83" t="s">
        <v>218</v>
      </c>
      <c r="P83" t="s">
        <v>221</v>
      </c>
      <c r="Q83" t="str">
        <f t="shared" si="3"/>
        <v>diagnose firewall iprope lookup 10.199.103.191 8080 10.201.1.28 8080 tcp E2-EH-AGN</v>
      </c>
    </row>
    <row r="84" spans="1:17" x14ac:dyDescent="0.3">
      <c r="A84" t="s">
        <v>12</v>
      </c>
      <c r="B84" t="s">
        <v>13</v>
      </c>
      <c r="C84" t="s">
        <v>152</v>
      </c>
      <c r="D84" t="s">
        <v>153</v>
      </c>
      <c r="E84" t="s">
        <v>213</v>
      </c>
      <c r="I84" t="s">
        <v>16</v>
      </c>
      <c r="J84">
        <v>8443</v>
      </c>
      <c r="K84">
        <v>8443</v>
      </c>
      <c r="M84" t="s">
        <v>217</v>
      </c>
      <c r="N84" t="str">
        <f t="shared" si="2"/>
        <v>get router info routing-table details 10.222.129.104 | grep -f *</v>
      </c>
      <c r="O84" t="s">
        <v>218</v>
      </c>
      <c r="P84" t="s">
        <v>221</v>
      </c>
      <c r="Q84" t="str">
        <f t="shared" si="3"/>
        <v>diagnose firewall iprope lookup 10.222.129.104 8443 10.201.1.28 8443 tcp E2-EH-AGN</v>
      </c>
    </row>
    <row r="85" spans="1:17" x14ac:dyDescent="0.3">
      <c r="A85" t="s">
        <v>12</v>
      </c>
      <c r="B85" t="s">
        <v>13</v>
      </c>
      <c r="C85" t="s">
        <v>154</v>
      </c>
      <c r="D85" t="s">
        <v>155</v>
      </c>
      <c r="E85" t="s">
        <v>214</v>
      </c>
      <c r="I85" t="s">
        <v>16</v>
      </c>
      <c r="J85">
        <v>8443</v>
      </c>
      <c r="K85">
        <v>8443</v>
      </c>
      <c r="M85" t="s">
        <v>217</v>
      </c>
      <c r="N85" t="str">
        <f t="shared" si="2"/>
        <v>get router info routing-table details 10.222.128.43 | grep -f *</v>
      </c>
      <c r="O85" t="s">
        <v>218</v>
      </c>
      <c r="P85" t="s">
        <v>221</v>
      </c>
      <c r="Q85" t="str">
        <f t="shared" si="3"/>
        <v>diagnose firewall iprope lookup 10.222.128.43 8443 10.201.1.28 8443 tcp E2-EH-AGN</v>
      </c>
    </row>
    <row r="86" spans="1:17" x14ac:dyDescent="0.3">
      <c r="A86" t="s">
        <v>12</v>
      </c>
      <c r="B86" t="s">
        <v>13</v>
      </c>
      <c r="C86" t="s">
        <v>156</v>
      </c>
      <c r="D86" t="s">
        <v>157</v>
      </c>
      <c r="E86" t="s">
        <v>215</v>
      </c>
      <c r="I86" t="s">
        <v>16</v>
      </c>
      <c r="J86">
        <v>8443</v>
      </c>
      <c r="K86">
        <v>8443</v>
      </c>
      <c r="M86" t="s">
        <v>217</v>
      </c>
      <c r="N86" t="str">
        <f t="shared" si="2"/>
        <v>get router info routing-table details 10.222.71.212 | grep -f *</v>
      </c>
      <c r="O86" t="s">
        <v>218</v>
      </c>
      <c r="P86" t="s">
        <v>220</v>
      </c>
      <c r="Q86" t="str">
        <f t="shared" si="3"/>
        <v>diagnose firewall iprope lookup 10.222.71.212 8443 10.201.1.28 8443 tcp EH-VDI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77A5-9F22-4D15-B22B-AB87920D658B}">
  <dimension ref="A1:A256"/>
  <sheetViews>
    <sheetView tabSelected="1" topLeftCell="A235" workbookViewId="0">
      <selection activeCell="A252" sqref="A252"/>
    </sheetView>
  </sheetViews>
  <sheetFormatPr defaultRowHeight="14" x14ac:dyDescent="0.3"/>
  <cols>
    <col min="1" max="1" width="99.5" bestFit="1" customWidth="1"/>
  </cols>
  <sheetData>
    <row r="1" spans="1:1" x14ac:dyDescent="0.3">
      <c r="A1" t="s">
        <v>223</v>
      </c>
    </row>
    <row r="2" spans="1:1" x14ac:dyDescent="0.3">
      <c r="A2" t="s">
        <v>224</v>
      </c>
    </row>
    <row r="4" spans="1:1" x14ac:dyDescent="0.3">
      <c r="A4" t="s">
        <v>225</v>
      </c>
    </row>
    <row r="5" spans="1:1" x14ac:dyDescent="0.3">
      <c r="A5" t="s">
        <v>226</v>
      </c>
    </row>
    <row r="7" spans="1:1" x14ac:dyDescent="0.3">
      <c r="A7" t="s">
        <v>227</v>
      </c>
    </row>
    <row r="8" spans="1:1" x14ac:dyDescent="0.3">
      <c r="A8" t="s">
        <v>228</v>
      </c>
    </row>
    <row r="10" spans="1:1" x14ac:dyDescent="0.3">
      <c r="A10" t="s">
        <v>229</v>
      </c>
    </row>
    <row r="11" spans="1:1" x14ac:dyDescent="0.3">
      <c r="A11" t="s">
        <v>230</v>
      </c>
    </row>
    <row r="13" spans="1:1" x14ac:dyDescent="0.3">
      <c r="A13" t="s">
        <v>231</v>
      </c>
    </row>
    <row r="14" spans="1:1" x14ac:dyDescent="0.3">
      <c r="A14" t="s">
        <v>232</v>
      </c>
    </row>
    <row r="16" spans="1:1" x14ac:dyDescent="0.3">
      <c r="A16" t="s">
        <v>233</v>
      </c>
    </row>
    <row r="17" spans="1:1" x14ac:dyDescent="0.3">
      <c r="A17" t="s">
        <v>234</v>
      </c>
    </row>
    <row r="19" spans="1:1" x14ac:dyDescent="0.3">
      <c r="A19" t="s">
        <v>235</v>
      </c>
    </row>
    <row r="20" spans="1:1" x14ac:dyDescent="0.3">
      <c r="A20" t="s">
        <v>236</v>
      </c>
    </row>
    <row r="22" spans="1:1" x14ac:dyDescent="0.3">
      <c r="A22" t="s">
        <v>237</v>
      </c>
    </row>
    <row r="23" spans="1:1" x14ac:dyDescent="0.3">
      <c r="A23" t="s">
        <v>238</v>
      </c>
    </row>
    <row r="25" spans="1:1" x14ac:dyDescent="0.3">
      <c r="A25" t="s">
        <v>239</v>
      </c>
    </row>
    <row r="26" spans="1:1" x14ac:dyDescent="0.3">
      <c r="A26" t="s">
        <v>240</v>
      </c>
    </row>
    <row r="28" spans="1:1" x14ac:dyDescent="0.3">
      <c r="A28" t="s">
        <v>241</v>
      </c>
    </row>
    <row r="29" spans="1:1" x14ac:dyDescent="0.3">
      <c r="A29" t="s">
        <v>242</v>
      </c>
    </row>
    <row r="31" spans="1:1" x14ac:dyDescent="0.3">
      <c r="A31" t="s">
        <v>243</v>
      </c>
    </row>
    <row r="32" spans="1:1" x14ac:dyDescent="0.3">
      <c r="A32" t="s">
        <v>244</v>
      </c>
    </row>
    <row r="34" spans="1:1" x14ac:dyDescent="0.3">
      <c r="A34" t="s">
        <v>245</v>
      </c>
    </row>
    <row r="35" spans="1:1" x14ac:dyDescent="0.3">
      <c r="A35" t="s">
        <v>246</v>
      </c>
    </row>
    <row r="37" spans="1:1" x14ac:dyDescent="0.3">
      <c r="A37" t="s">
        <v>247</v>
      </c>
    </row>
    <row r="38" spans="1:1" x14ac:dyDescent="0.3">
      <c r="A38" t="s">
        <v>248</v>
      </c>
    </row>
    <row r="40" spans="1:1" x14ac:dyDescent="0.3">
      <c r="A40" t="s">
        <v>249</v>
      </c>
    </row>
    <row r="41" spans="1:1" x14ac:dyDescent="0.3">
      <c r="A41" t="s">
        <v>250</v>
      </c>
    </row>
    <row r="43" spans="1:1" x14ac:dyDescent="0.3">
      <c r="A43" t="s">
        <v>251</v>
      </c>
    </row>
    <row r="44" spans="1:1" x14ac:dyDescent="0.3">
      <c r="A44" t="s">
        <v>252</v>
      </c>
    </row>
    <row r="46" spans="1:1" x14ac:dyDescent="0.3">
      <c r="A46" t="s">
        <v>253</v>
      </c>
    </row>
    <row r="47" spans="1:1" x14ac:dyDescent="0.3">
      <c r="A47" t="s">
        <v>254</v>
      </c>
    </row>
    <row r="49" spans="1:1" x14ac:dyDescent="0.3">
      <c r="A49" t="s">
        <v>255</v>
      </c>
    </row>
    <row r="50" spans="1:1" x14ac:dyDescent="0.3">
      <c r="A50" t="s">
        <v>256</v>
      </c>
    </row>
    <row r="52" spans="1:1" x14ac:dyDescent="0.3">
      <c r="A52" t="s">
        <v>257</v>
      </c>
    </row>
    <row r="53" spans="1:1" x14ac:dyDescent="0.3">
      <c r="A53" t="s">
        <v>258</v>
      </c>
    </row>
    <row r="55" spans="1:1" x14ac:dyDescent="0.3">
      <c r="A55" t="s">
        <v>259</v>
      </c>
    </row>
    <row r="56" spans="1:1" x14ac:dyDescent="0.3">
      <c r="A56" t="s">
        <v>260</v>
      </c>
    </row>
    <row r="58" spans="1:1" x14ac:dyDescent="0.3">
      <c r="A58" t="s">
        <v>261</v>
      </c>
    </row>
    <row r="59" spans="1:1" x14ac:dyDescent="0.3">
      <c r="A59" t="s">
        <v>262</v>
      </c>
    </row>
    <row r="61" spans="1:1" x14ac:dyDescent="0.3">
      <c r="A61" t="s">
        <v>263</v>
      </c>
    </row>
    <row r="62" spans="1:1" x14ac:dyDescent="0.3">
      <c r="A62" t="s">
        <v>264</v>
      </c>
    </row>
    <row r="64" spans="1:1" x14ac:dyDescent="0.3">
      <c r="A64" t="s">
        <v>265</v>
      </c>
    </row>
    <row r="65" spans="1:1" x14ac:dyDescent="0.3">
      <c r="A65" t="s">
        <v>266</v>
      </c>
    </row>
    <row r="67" spans="1:1" x14ac:dyDescent="0.3">
      <c r="A67" t="s">
        <v>267</v>
      </c>
    </row>
    <row r="68" spans="1:1" x14ac:dyDescent="0.3">
      <c r="A68" t="s">
        <v>268</v>
      </c>
    </row>
    <row r="70" spans="1:1" x14ac:dyDescent="0.3">
      <c r="A70" t="s">
        <v>269</v>
      </c>
    </row>
    <row r="71" spans="1:1" x14ac:dyDescent="0.3">
      <c r="A71" t="s">
        <v>270</v>
      </c>
    </row>
    <row r="73" spans="1:1" x14ac:dyDescent="0.3">
      <c r="A73" t="s">
        <v>271</v>
      </c>
    </row>
    <row r="74" spans="1:1" x14ac:dyDescent="0.3">
      <c r="A74" t="s">
        <v>272</v>
      </c>
    </row>
    <row r="76" spans="1:1" x14ac:dyDescent="0.3">
      <c r="A76" t="s">
        <v>273</v>
      </c>
    </row>
    <row r="77" spans="1:1" x14ac:dyDescent="0.3">
      <c r="A77" t="s">
        <v>274</v>
      </c>
    </row>
    <row r="79" spans="1:1" x14ac:dyDescent="0.3">
      <c r="A79" t="s">
        <v>275</v>
      </c>
    </row>
    <row r="80" spans="1:1" x14ac:dyDescent="0.3">
      <c r="A80" t="s">
        <v>276</v>
      </c>
    </row>
    <row r="82" spans="1:1" x14ac:dyDescent="0.3">
      <c r="A82" t="s">
        <v>277</v>
      </c>
    </row>
    <row r="83" spans="1:1" x14ac:dyDescent="0.3">
      <c r="A83" t="s">
        <v>278</v>
      </c>
    </row>
    <row r="85" spans="1:1" x14ac:dyDescent="0.3">
      <c r="A85" t="s">
        <v>279</v>
      </c>
    </row>
    <row r="86" spans="1:1" x14ac:dyDescent="0.3">
      <c r="A86" t="s">
        <v>280</v>
      </c>
    </row>
    <row r="88" spans="1:1" x14ac:dyDescent="0.3">
      <c r="A88" t="s">
        <v>281</v>
      </c>
    </row>
    <row r="89" spans="1:1" x14ac:dyDescent="0.3">
      <c r="A89" t="s">
        <v>282</v>
      </c>
    </row>
    <row r="91" spans="1:1" x14ac:dyDescent="0.3">
      <c r="A91" t="s">
        <v>283</v>
      </c>
    </row>
    <row r="92" spans="1:1" x14ac:dyDescent="0.3">
      <c r="A92" t="s">
        <v>284</v>
      </c>
    </row>
    <row r="94" spans="1:1" x14ac:dyDescent="0.3">
      <c r="A94" t="s">
        <v>285</v>
      </c>
    </row>
    <row r="95" spans="1:1" x14ac:dyDescent="0.3">
      <c r="A95" t="s">
        <v>286</v>
      </c>
    </row>
    <row r="97" spans="1:1" x14ac:dyDescent="0.3">
      <c r="A97" t="s">
        <v>287</v>
      </c>
    </row>
    <row r="98" spans="1:1" x14ac:dyDescent="0.3">
      <c r="A98" t="s">
        <v>288</v>
      </c>
    </row>
    <row r="100" spans="1:1" x14ac:dyDescent="0.3">
      <c r="A100" t="s">
        <v>289</v>
      </c>
    </row>
    <row r="101" spans="1:1" x14ac:dyDescent="0.3">
      <c r="A101" t="s">
        <v>290</v>
      </c>
    </row>
    <row r="103" spans="1:1" x14ac:dyDescent="0.3">
      <c r="A103" t="s">
        <v>291</v>
      </c>
    </row>
    <row r="104" spans="1:1" x14ac:dyDescent="0.3">
      <c r="A104" t="s">
        <v>292</v>
      </c>
    </row>
    <row r="106" spans="1:1" x14ac:dyDescent="0.3">
      <c r="A106" t="s">
        <v>293</v>
      </c>
    </row>
    <row r="107" spans="1:1" x14ac:dyDescent="0.3">
      <c r="A107" t="s">
        <v>294</v>
      </c>
    </row>
    <row r="109" spans="1:1" x14ac:dyDescent="0.3">
      <c r="A109" t="s">
        <v>295</v>
      </c>
    </row>
    <row r="110" spans="1:1" x14ac:dyDescent="0.3">
      <c r="A110" t="s">
        <v>296</v>
      </c>
    </row>
    <row r="112" spans="1:1" x14ac:dyDescent="0.3">
      <c r="A112" t="s">
        <v>297</v>
      </c>
    </row>
    <row r="113" spans="1:1" x14ac:dyDescent="0.3">
      <c r="A113" t="s">
        <v>298</v>
      </c>
    </row>
    <row r="115" spans="1:1" x14ac:dyDescent="0.3">
      <c r="A115" t="s">
        <v>299</v>
      </c>
    </row>
    <row r="116" spans="1:1" x14ac:dyDescent="0.3">
      <c r="A116" t="s">
        <v>300</v>
      </c>
    </row>
    <row r="118" spans="1:1" x14ac:dyDescent="0.3">
      <c r="A118" t="s">
        <v>301</v>
      </c>
    </row>
    <row r="119" spans="1:1" x14ac:dyDescent="0.3">
      <c r="A119" t="s">
        <v>302</v>
      </c>
    </row>
    <row r="121" spans="1:1" x14ac:dyDescent="0.3">
      <c r="A121" t="s">
        <v>303</v>
      </c>
    </row>
    <row r="122" spans="1:1" x14ac:dyDescent="0.3">
      <c r="A122" t="s">
        <v>304</v>
      </c>
    </row>
    <row r="124" spans="1:1" x14ac:dyDescent="0.3">
      <c r="A124" t="s">
        <v>305</v>
      </c>
    </row>
    <row r="125" spans="1:1" x14ac:dyDescent="0.3">
      <c r="A125" t="s">
        <v>306</v>
      </c>
    </row>
    <row r="127" spans="1:1" x14ac:dyDescent="0.3">
      <c r="A127" t="s">
        <v>307</v>
      </c>
    </row>
    <row r="128" spans="1:1" x14ac:dyDescent="0.3">
      <c r="A128" t="s">
        <v>308</v>
      </c>
    </row>
    <row r="130" spans="1:1" x14ac:dyDescent="0.3">
      <c r="A130" t="s">
        <v>309</v>
      </c>
    </row>
    <row r="131" spans="1:1" x14ac:dyDescent="0.3">
      <c r="A131" t="s">
        <v>310</v>
      </c>
    </row>
    <row r="133" spans="1:1" x14ac:dyDescent="0.3">
      <c r="A133" t="s">
        <v>311</v>
      </c>
    </row>
    <row r="134" spans="1:1" x14ac:dyDescent="0.3">
      <c r="A134" t="s">
        <v>312</v>
      </c>
    </row>
    <row r="136" spans="1:1" x14ac:dyDescent="0.3">
      <c r="A136" t="s">
        <v>313</v>
      </c>
    </row>
    <row r="137" spans="1:1" x14ac:dyDescent="0.3">
      <c r="A137" t="s">
        <v>314</v>
      </c>
    </row>
    <row r="139" spans="1:1" x14ac:dyDescent="0.3">
      <c r="A139" t="s">
        <v>315</v>
      </c>
    </row>
    <row r="140" spans="1:1" x14ac:dyDescent="0.3">
      <c r="A140" t="s">
        <v>316</v>
      </c>
    </row>
    <row r="142" spans="1:1" x14ac:dyDescent="0.3">
      <c r="A142" t="s">
        <v>317</v>
      </c>
    </row>
    <row r="143" spans="1:1" x14ac:dyDescent="0.3">
      <c r="A143" t="s">
        <v>318</v>
      </c>
    </row>
    <row r="145" spans="1:1" x14ac:dyDescent="0.3">
      <c r="A145" t="s">
        <v>319</v>
      </c>
    </row>
    <row r="146" spans="1:1" x14ac:dyDescent="0.3">
      <c r="A146" t="s">
        <v>320</v>
      </c>
    </row>
    <row r="148" spans="1:1" x14ac:dyDescent="0.3">
      <c r="A148" t="s">
        <v>321</v>
      </c>
    </row>
    <row r="149" spans="1:1" x14ac:dyDescent="0.3">
      <c r="A149" t="s">
        <v>322</v>
      </c>
    </row>
    <row r="151" spans="1:1" x14ac:dyDescent="0.3">
      <c r="A151" t="s">
        <v>323</v>
      </c>
    </row>
    <row r="152" spans="1:1" x14ac:dyDescent="0.3">
      <c r="A152" t="s">
        <v>324</v>
      </c>
    </row>
    <row r="154" spans="1:1" x14ac:dyDescent="0.3">
      <c r="A154" t="s">
        <v>325</v>
      </c>
    </row>
    <row r="155" spans="1:1" x14ac:dyDescent="0.3">
      <c r="A155" t="s">
        <v>326</v>
      </c>
    </row>
    <row r="157" spans="1:1" x14ac:dyDescent="0.3">
      <c r="A157" t="s">
        <v>327</v>
      </c>
    </row>
    <row r="158" spans="1:1" x14ac:dyDescent="0.3">
      <c r="A158" t="s">
        <v>328</v>
      </c>
    </row>
    <row r="160" spans="1:1" x14ac:dyDescent="0.3">
      <c r="A160" t="s">
        <v>329</v>
      </c>
    </row>
    <row r="161" spans="1:1" x14ac:dyDescent="0.3">
      <c r="A161" t="s">
        <v>330</v>
      </c>
    </row>
    <row r="163" spans="1:1" x14ac:dyDescent="0.3">
      <c r="A163" t="s">
        <v>331</v>
      </c>
    </row>
    <row r="164" spans="1:1" x14ac:dyDescent="0.3">
      <c r="A164" t="s">
        <v>332</v>
      </c>
    </row>
    <row r="166" spans="1:1" x14ac:dyDescent="0.3">
      <c r="A166" t="s">
        <v>333</v>
      </c>
    </row>
    <row r="167" spans="1:1" x14ac:dyDescent="0.3">
      <c r="A167" t="s">
        <v>334</v>
      </c>
    </row>
    <row r="169" spans="1:1" x14ac:dyDescent="0.3">
      <c r="A169" t="s">
        <v>335</v>
      </c>
    </row>
    <row r="170" spans="1:1" x14ac:dyDescent="0.3">
      <c r="A170" t="s">
        <v>336</v>
      </c>
    </row>
    <row r="172" spans="1:1" x14ac:dyDescent="0.3">
      <c r="A172" t="s">
        <v>337</v>
      </c>
    </row>
    <row r="173" spans="1:1" x14ac:dyDescent="0.3">
      <c r="A173" t="s">
        <v>338</v>
      </c>
    </row>
    <row r="175" spans="1:1" x14ac:dyDescent="0.3">
      <c r="A175" t="s">
        <v>339</v>
      </c>
    </row>
    <row r="176" spans="1:1" x14ac:dyDescent="0.3">
      <c r="A176" t="s">
        <v>340</v>
      </c>
    </row>
    <row r="178" spans="1:1" x14ac:dyDescent="0.3">
      <c r="A178" t="s">
        <v>341</v>
      </c>
    </row>
    <row r="179" spans="1:1" x14ac:dyDescent="0.3">
      <c r="A179" t="s">
        <v>342</v>
      </c>
    </row>
    <row r="181" spans="1:1" x14ac:dyDescent="0.3">
      <c r="A181" t="s">
        <v>343</v>
      </c>
    </row>
    <row r="182" spans="1:1" x14ac:dyDescent="0.3">
      <c r="A182" t="s">
        <v>344</v>
      </c>
    </row>
    <row r="184" spans="1:1" x14ac:dyDescent="0.3">
      <c r="A184" t="s">
        <v>345</v>
      </c>
    </row>
    <row r="185" spans="1:1" x14ac:dyDescent="0.3">
      <c r="A185" t="s">
        <v>346</v>
      </c>
    </row>
    <row r="187" spans="1:1" x14ac:dyDescent="0.3">
      <c r="A187" t="s">
        <v>347</v>
      </c>
    </row>
    <row r="188" spans="1:1" x14ac:dyDescent="0.3">
      <c r="A188" t="s">
        <v>348</v>
      </c>
    </row>
    <row r="190" spans="1:1" x14ac:dyDescent="0.3">
      <c r="A190" t="s">
        <v>349</v>
      </c>
    </row>
    <row r="191" spans="1:1" x14ac:dyDescent="0.3">
      <c r="A191" t="s">
        <v>350</v>
      </c>
    </row>
    <row r="193" spans="1:1" x14ac:dyDescent="0.3">
      <c r="A193" t="s">
        <v>351</v>
      </c>
    </row>
    <row r="194" spans="1:1" x14ac:dyDescent="0.3">
      <c r="A194" t="s">
        <v>352</v>
      </c>
    </row>
    <row r="196" spans="1:1" x14ac:dyDescent="0.3">
      <c r="A196" t="s">
        <v>353</v>
      </c>
    </row>
    <row r="197" spans="1:1" x14ac:dyDescent="0.3">
      <c r="A197" t="s">
        <v>354</v>
      </c>
    </row>
    <row r="199" spans="1:1" x14ac:dyDescent="0.3">
      <c r="A199" t="s">
        <v>355</v>
      </c>
    </row>
    <row r="200" spans="1:1" x14ac:dyDescent="0.3">
      <c r="A200" t="s">
        <v>356</v>
      </c>
    </row>
    <row r="202" spans="1:1" x14ac:dyDescent="0.3">
      <c r="A202" t="s">
        <v>357</v>
      </c>
    </row>
    <row r="203" spans="1:1" x14ac:dyDescent="0.3">
      <c r="A203" t="s">
        <v>358</v>
      </c>
    </row>
    <row r="205" spans="1:1" x14ac:dyDescent="0.3">
      <c r="A205" t="s">
        <v>359</v>
      </c>
    </row>
    <row r="206" spans="1:1" x14ac:dyDescent="0.3">
      <c r="A206" t="s">
        <v>360</v>
      </c>
    </row>
    <row r="208" spans="1:1" x14ac:dyDescent="0.3">
      <c r="A208" t="s">
        <v>361</v>
      </c>
    </row>
    <row r="209" spans="1:1" x14ac:dyDescent="0.3">
      <c r="A209" t="s">
        <v>362</v>
      </c>
    </row>
    <row r="211" spans="1:1" x14ac:dyDescent="0.3">
      <c r="A211" t="s">
        <v>363</v>
      </c>
    </row>
    <row r="212" spans="1:1" x14ac:dyDescent="0.3">
      <c r="A212" t="s">
        <v>364</v>
      </c>
    </row>
    <row r="214" spans="1:1" x14ac:dyDescent="0.3">
      <c r="A214" t="s">
        <v>365</v>
      </c>
    </row>
    <row r="215" spans="1:1" x14ac:dyDescent="0.3">
      <c r="A215" t="s">
        <v>366</v>
      </c>
    </row>
    <row r="217" spans="1:1" x14ac:dyDescent="0.3">
      <c r="A217" t="s">
        <v>367</v>
      </c>
    </row>
    <row r="218" spans="1:1" x14ac:dyDescent="0.3">
      <c r="A218" t="s">
        <v>368</v>
      </c>
    </row>
    <row r="220" spans="1:1" x14ac:dyDescent="0.3">
      <c r="A220" t="s">
        <v>369</v>
      </c>
    </row>
    <row r="221" spans="1:1" x14ac:dyDescent="0.3">
      <c r="A221" t="s">
        <v>370</v>
      </c>
    </row>
    <row r="223" spans="1:1" x14ac:dyDescent="0.3">
      <c r="A223" t="s">
        <v>371</v>
      </c>
    </row>
    <row r="224" spans="1:1" x14ac:dyDescent="0.3">
      <c r="A224" t="s">
        <v>372</v>
      </c>
    </row>
    <row r="226" spans="1:1" x14ac:dyDescent="0.3">
      <c r="A226" t="s">
        <v>373</v>
      </c>
    </row>
    <row r="227" spans="1:1" x14ac:dyDescent="0.3">
      <c r="A227" t="s">
        <v>374</v>
      </c>
    </row>
    <row r="229" spans="1:1" x14ac:dyDescent="0.3">
      <c r="A229" t="s">
        <v>375</v>
      </c>
    </row>
    <row r="230" spans="1:1" x14ac:dyDescent="0.3">
      <c r="A230" t="s">
        <v>376</v>
      </c>
    </row>
    <row r="232" spans="1:1" x14ac:dyDescent="0.3">
      <c r="A232" t="s">
        <v>377</v>
      </c>
    </row>
    <row r="233" spans="1:1" x14ac:dyDescent="0.3">
      <c r="A233" t="s">
        <v>378</v>
      </c>
    </row>
    <row r="235" spans="1:1" x14ac:dyDescent="0.3">
      <c r="A235" t="s">
        <v>379</v>
      </c>
    </row>
    <row r="236" spans="1:1" x14ac:dyDescent="0.3">
      <c r="A236" t="s">
        <v>380</v>
      </c>
    </row>
    <row r="238" spans="1:1" x14ac:dyDescent="0.3">
      <c r="A238" t="s">
        <v>381</v>
      </c>
    </row>
    <row r="239" spans="1:1" x14ac:dyDescent="0.3">
      <c r="A239" t="s">
        <v>382</v>
      </c>
    </row>
    <row r="241" spans="1:1" x14ac:dyDescent="0.3">
      <c r="A241" t="s">
        <v>383</v>
      </c>
    </row>
    <row r="242" spans="1:1" x14ac:dyDescent="0.3">
      <c r="A242" t="s">
        <v>384</v>
      </c>
    </row>
    <row r="244" spans="1:1" x14ac:dyDescent="0.3">
      <c r="A244" t="s">
        <v>385</v>
      </c>
    </row>
    <row r="245" spans="1:1" x14ac:dyDescent="0.3">
      <c r="A245" t="s">
        <v>386</v>
      </c>
    </row>
    <row r="247" spans="1:1" x14ac:dyDescent="0.3">
      <c r="A247" t="s">
        <v>387</v>
      </c>
    </row>
    <row r="248" spans="1:1" x14ac:dyDescent="0.3">
      <c r="A248" t="s">
        <v>388</v>
      </c>
    </row>
    <row r="250" spans="1:1" x14ac:dyDescent="0.3">
      <c r="A250" t="s">
        <v>389</v>
      </c>
    </row>
    <row r="251" spans="1:1" x14ac:dyDescent="0.3">
      <c r="A251" t="s">
        <v>390</v>
      </c>
    </row>
    <row r="253" spans="1:1" x14ac:dyDescent="0.3">
      <c r="A253" t="s">
        <v>391</v>
      </c>
    </row>
    <row r="254" spans="1:1" x14ac:dyDescent="0.3">
      <c r="A254" t="s">
        <v>392</v>
      </c>
    </row>
    <row r="256" spans="1:1" x14ac:dyDescent="0.3">
      <c r="A256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10.201.1.28_ads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TAWADE, Abhishek (EH:GROUP)</dc:creator>
  <cp:lastModifiedBy>Tawade, Abhishek (Allianz Trade, external)</cp:lastModifiedBy>
  <dcterms:created xsi:type="dcterms:W3CDTF">2025-12-15T11:17:37Z</dcterms:created>
  <dcterms:modified xsi:type="dcterms:W3CDTF">2025-12-15T13:57:45Z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2025-12-15T11:17:37Z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c7699ddd-9e4f-4745-900f-2f957fb973b6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