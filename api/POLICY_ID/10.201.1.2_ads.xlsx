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14DF5464-F2C5-42E6-9EDD-B83FC7C5A3F8}" xr6:coauthVersionLast="47" xr6:coauthVersionMax="47" xr10:uidLastSave="{00000000-0000-0000-0000-000000000000}"/>
  <bookViews>
    <workbookView xWindow="-110" yWindow="-110" windowWidth="19420" windowHeight="11500" xr2:uid="{A6A7486B-0FF2-431B-8EA6-C6ECB8951DAA}"/>
  </bookViews>
  <sheets>
    <sheet name="10.201.1.2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2" i="1"/>
  <c r="N3" i="1"/>
  <c r="N4" i="1"/>
  <c r="N5" i="1"/>
  <c r="N6" i="1"/>
  <c r="N7" i="1"/>
  <c r="N8" i="1"/>
  <c r="N9" i="1"/>
  <c r="N10" i="1"/>
  <c r="N11" i="1"/>
  <c r="N12" i="1"/>
  <c r="N2" i="1"/>
</calcChain>
</file>

<file path=xl/sharedStrings.xml><?xml version="1.0" encoding="utf-8"?>
<sst xmlns="http://schemas.openxmlformats.org/spreadsheetml/2006/main" count="139" uniqueCount="77">
  <si>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</si>
  <si>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</si>
  <si>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</si>
  <si>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</si>
  <si>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</si>
  <si>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</si>
  <si>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</si>
  <si>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</si>
  <si>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</si>
  <si>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</si>
  <si>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</si>
  <si>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</si>
  <si>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</si>
  <si>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</si>
  <si>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</si>
  <si>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10.199.99.223</t>
  </si>
  <si>
    <t>tcp</t>
  </si>
  <si>
    <t>ads-rule-32207</t>
  </si>
  <si>
    <t>From ADS data. Allow from 10.199.99.169</t>
  </si>
  <si>
    <t>ads-rule-48631</t>
  </si>
  <si>
    <t>From ADS data. Allow from 10.199.99.40</t>
  </si>
  <si>
    <t>ads-rule-57583</t>
  </si>
  <si>
    <t>From ADS data. Allow from 10.199.99.217</t>
  </si>
  <si>
    <t>ads-rule-86679</t>
  </si>
  <si>
    <t>From ADS data. Allow from 10.199.99.150</t>
  </si>
  <si>
    <t>ads-rule-91084</t>
  </si>
  <si>
    <t>From ADS data. Allow from 10.72.42.5</t>
  </si>
  <si>
    <t>ads-rule-91089</t>
  </si>
  <si>
    <t>From ADS data. Allow from 10.17.42.6</t>
  </si>
  <si>
    <t>ads-rule-91090</t>
  </si>
  <si>
    <t>From ADS data. Allow from 10.222.210.166</t>
  </si>
  <si>
    <t>ads-rule-91091</t>
  </si>
  <si>
    <t>From ADS data. Allow from 10.201.19.10</t>
  </si>
  <si>
    <t>ads-rule-91092</t>
  </si>
  <si>
    <t>From ADS data. Allow from 10.201.19.139</t>
  </si>
  <si>
    <t>ads-rule-91093</t>
  </si>
  <si>
    <t>From ADS data. Allow from 10.196.65.49</t>
  </si>
  <si>
    <t>10.199.99.223</t>
  </si>
  <si>
    <t>10.199.99.169</t>
  </si>
  <si>
    <t>10.199.99.40</t>
  </si>
  <si>
    <t>10.199.99.217</t>
  </si>
  <si>
    <t>10.199.99.150</t>
  </si>
  <si>
    <t>10.72.42.5</t>
  </si>
  <si>
    <t>10.17.42.6</t>
  </si>
  <si>
    <t>10.222.210.166</t>
  </si>
  <si>
    <t>10.201.19.10</t>
  </si>
  <si>
    <t>10.201.19.139</t>
  </si>
  <si>
    <t>10.196.65.49</t>
  </si>
  <si>
    <t>aa</t>
  </si>
  <si>
    <t>get router info routing-table details</t>
  </si>
  <si>
    <t>diagnose firewall iprope lookup</t>
  </si>
  <si>
    <t>E2-EH-AGN</t>
  </si>
  <si>
    <t>E2-EH-VPN</t>
  </si>
  <si>
    <t>E2-EH-CORE</t>
  </si>
  <si>
    <t>FR-E2-FW-EH-1-FNET $ diagnose firewall iprope lookup 10.199.99.223 5444 10.201.1.2 5444 tcp E2-EH-AGN</t>
  </si>
  <si>
    <t>&lt;src [10.199.99.223-5444] dst [10.201.1.2-5444] proto tcp dev E2-EH-AGN&gt; matches policy id: 4151</t>
  </si>
  <si>
    <t>FR-E2-FW-EH-1-FNET $ diagnose firewall iprope lookup 10.199.99.169 5444 10.201.1.2 5444 tcp E2-EH-AGN</t>
  </si>
  <si>
    <t>&lt;src [10.199.99.169-5444] dst [10.201.1.2-5444] proto tcp dev E2-EH-AGN&gt; matches policy id: 4151</t>
  </si>
  <si>
    <t>FR-E2-FW-EH-1-FNET $ diagnose firewall iprope lookup 10.199.99.40 5444 10.201.1.2 5444 tcp E2-EH-AGN</t>
  </si>
  <si>
    <t>&lt;src [10.199.99.40-5444] dst [10.201.1.2-5444] proto tcp dev E2-EH-AGN&gt; matches policy id: 4151</t>
  </si>
  <si>
    <t>FR-E2-FW-EH-1-FNET $ diagnose firewall iprope lookup 10.199.99.217 5444 10.201.1.2 5444 tcp E2-EH-AGN</t>
  </si>
  <si>
    <t>&lt;src [10.199.99.217-5444] dst [10.201.1.2-5444] proto tcp dev E2-EH-AGN&gt; matches policy id: 4151</t>
  </si>
  <si>
    <t>FR-E2-FW-EH-1-FNET $ diagnose firewall iprope lookup 10.199.99.150 5444 10.201.1.2 5444 tcp E2-EH-AGN</t>
  </si>
  <si>
    <t>&lt;src [10.199.99.150-5444] dst [10.201.1.2-5444] proto tcp dev E2-EH-AGN&gt; matches policy id: 4151</t>
  </si>
  <si>
    <t>FR-E2-FW-EH-1-FNET $ diagnose firewall iprope lookup 10.72.42.5 22 10.201.1.2 22 tcp E2-EH-AGN</t>
  </si>
  <si>
    <t>&lt;src [10.72.42.5-22] dst [10.201.1.2-22] proto tcp dev E2-EH-AGN&gt; matches policy id: 8870</t>
  </si>
  <si>
    <t>FR-E2-FW-EH-1-FNET $ diagnose firewall iprope lookup 10.17.42.6 22 10.201.1.2 22 tcp E2-EH-AGN</t>
  </si>
  <si>
    <t>&lt;src [10.17.42.6-22] dst [10.201.1.2-22] proto tcp dev E2-EH-AGN&gt; matches policy id: 8870</t>
  </si>
  <si>
    <t>FR-E2-FW-EH-1-FNET $ diagnose firewall iprope lookup 10.222.210.166 22 10.201.1.2 22 tcp E2-EH-VPN</t>
  </si>
  <si>
    <t>&lt;src [10.222.210.166-22] dst [10.201.1.2-22] proto tcp dev E2-EH-VPN&gt; matches policy id: 5189</t>
  </si>
  <si>
    <t>FR-E2-FW-EH-1-FNET $ diagnose firewall iprope lookup 10.201.19.10 22 10.201.1.2 22 tcp E2-EH-CORE</t>
  </si>
  <si>
    <t>&lt;src [10.201.19.10-22] dst [10.201.1.2-22] proto tcp dev E2-EH-CORE&gt; matches policy id: 284</t>
  </si>
  <si>
    <t>FR-E2-FW-EH-1-FNET $ diagnose firewall iprope lookup 10.201.19.139 22 10.201.1.2 22 tcp E2-EH-CORE</t>
  </si>
  <si>
    <t>&lt;src [10.201.19.139-22] dst [10.201.1.2-22] proto tcp dev E2-EH-CORE&gt; matches policy id: 284</t>
  </si>
  <si>
    <t>FR-E2-FW-EH-1-FNET $ diagnose firewall iprope lookup 10.196.65.49 22 10.201.1.2 22 tcp E2-EH-VPN</t>
  </si>
  <si>
    <t>&lt;src [10.196.65.49-22] dst [10.201.1.2-22] proto tcp dev E2-EH-VPN&gt; matches policy id: 5189</t>
  </si>
  <si>
    <t xml:space="preserve">FR-E2-FW-EH-1-FNET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</si>
</sst>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941D-A4CA-4A5F-9828-52670B8C61C5}">
  <dimension ref="A1:Q12"/>
  <sheetViews>
    <sheetView tabSelected="1" topLeftCell="O1" workbookViewId="0">
      <selection activeCell="P17" sqref="P17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8.6640625" bestFit="1" customWidth="1"/>
    <col min="15" max="15" width="25.75" bestFit="1" customWidth="1"/>
    <col min="16" max="16" width="25.75" customWidth="1"/>
    <col min="17" max="17" width="75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48</v>
      </c>
      <c r="N1" t="s">
        <v>48</v>
      </c>
      <c r="O1" t="s">
        <v>48</v>
      </c>
      <c r="P1" t="s">
        <v>48</v>
      </c>
      <c r="Q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37</v>
      </c>
      <c r="I2" t="s">
        <v>16</v>
      </c>
      <c r="J2">
        <v>5444</v>
      </c>
      <c r="K2">
        <v>5444</v>
      </c>
      <c r="M2" t="s">
        <v>49</v>
      </c>
      <c r="N2" t="str">
        <f>_xlfn.CONCAT(M2," ",E2, " | grep -f *")</f>
        <v>get router info routing-table details 10.199.99.223 | grep -f *</v>
      </c>
      <c r="O2" t="s">
        <v>50</v>
      </c>
      <c r="P2" t="s">
        <v>51</v>
      </c>
      <c r="Q2" t="str">
        <f>_xlfn.CONCAT(O2," ",E2," ",J2," 10.201.1.2 ",K2, " tcp ",P2,"")</f>
        <v>diagnose firewall iprope lookup 10.199.99.223 5444 10.201.1.2 5444 tcp E2-EH-AGN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38</v>
      </c>
      <c r="I3" t="s">
        <v>16</v>
      </c>
      <c r="J3">
        <v>5444</v>
      </c>
      <c r="K3">
        <v>5444</v>
      </c>
      <c r="M3" t="s">
        <v>49</v>
      </c>
      <c r="N3" t="str">
        <f t="shared" ref="N3:N12" si="0">_xlfn.CONCAT(M3," ",E3, " | grep -f *")</f>
        <v>get router info routing-table details 10.199.99.169 | grep -f *</v>
      </c>
      <c r="O3" t="s">
        <v>50</v>
      </c>
      <c r="P3" t="s">
        <v>51</v>
      </c>
      <c r="Q3" t="str">
        <f t="shared" ref="Q3:Q12" si="1">_xlfn.CONCAT(O3," ",E3," ",J3," 10.201.1.2 ",K3, " tcp ",P3,"")</f>
        <v>diagnose firewall iprope lookup 10.199.99.169 5444 10.201.1.2 5444 tcp E2-EH-AGN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39</v>
      </c>
      <c r="I4" t="s">
        <v>16</v>
      </c>
      <c r="J4">
        <v>5444</v>
      </c>
      <c r="K4">
        <v>5444</v>
      </c>
      <c r="M4" t="s">
        <v>49</v>
      </c>
      <c r="N4" t="str">
        <f t="shared" si="0"/>
        <v>get router info routing-table details 10.199.99.40 | grep -f *</v>
      </c>
      <c r="O4" t="s">
        <v>50</v>
      </c>
      <c r="P4" t="s">
        <v>51</v>
      </c>
      <c r="Q4" t="str">
        <f t="shared" si="1"/>
        <v>diagnose firewall iprope lookup 10.199.99.40 5444 10.201.1.2 5444 tcp E2-EH-AGN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40</v>
      </c>
      <c r="I5" t="s">
        <v>16</v>
      </c>
      <c r="J5">
        <v>5444</v>
      </c>
      <c r="K5">
        <v>5444</v>
      </c>
      <c r="M5" t="s">
        <v>49</v>
      </c>
      <c r="N5" t="str">
        <f t="shared" si="0"/>
        <v>get router info routing-table details 10.199.99.217 | grep -f *</v>
      </c>
      <c r="O5" t="s">
        <v>50</v>
      </c>
      <c r="P5" t="s">
        <v>51</v>
      </c>
      <c r="Q5" t="str">
        <f t="shared" si="1"/>
        <v>diagnose firewall iprope lookup 10.199.99.217 5444 10.201.1.2 5444 tcp E2-EH-AGN</v>
      </c>
    </row>
    <row r="6" spans="1:17" x14ac:dyDescent="0.3">
      <c r="A6" t="s">
        <v>12</v>
      </c>
      <c r="B6" t="s">
        <v>13</v>
      </c>
      <c r="C6" t="s">
        <v>23</v>
      </c>
      <c r="D6" t="s">
        <v>24</v>
      </c>
      <c r="E6" t="s">
        <v>41</v>
      </c>
      <c r="I6" t="s">
        <v>16</v>
      </c>
      <c r="J6">
        <v>5444</v>
      </c>
      <c r="K6">
        <v>5444</v>
      </c>
      <c r="M6" t="s">
        <v>49</v>
      </c>
      <c r="N6" t="str">
        <f t="shared" si="0"/>
        <v>get router info routing-table details 10.199.99.150 | grep -f *</v>
      </c>
      <c r="O6" t="s">
        <v>50</v>
      </c>
      <c r="P6" t="s">
        <v>51</v>
      </c>
      <c r="Q6" t="str">
        <f t="shared" si="1"/>
        <v>diagnose firewall iprope lookup 10.199.99.150 5444 10.201.1.2 5444 tcp E2-EH-AGN</v>
      </c>
    </row>
    <row r="7" spans="1:17" x14ac:dyDescent="0.3">
      <c r="A7" t="s">
        <v>12</v>
      </c>
      <c r="B7" t="s">
        <v>13</v>
      </c>
      <c r="C7" t="s">
        <v>25</v>
      </c>
      <c r="D7" t="s">
        <v>26</v>
      </c>
      <c r="E7" t="s">
        <v>42</v>
      </c>
      <c r="I7" t="s">
        <v>16</v>
      </c>
      <c r="J7">
        <v>22</v>
      </c>
      <c r="K7">
        <v>22</v>
      </c>
      <c r="M7" t="s">
        <v>49</v>
      </c>
      <c r="N7" t="str">
        <f t="shared" si="0"/>
        <v>get router info routing-table details 10.72.42.5 | grep -f *</v>
      </c>
      <c r="O7" t="s">
        <v>50</v>
      </c>
      <c r="P7" t="s">
        <v>51</v>
      </c>
      <c r="Q7" t="str">
        <f t="shared" si="1"/>
        <v>diagnose firewall iprope lookup 10.72.42.5 22 10.201.1.2 22 tcp E2-EH-AGN</v>
      </c>
    </row>
    <row r="8" spans="1:17" x14ac:dyDescent="0.3">
      <c r="A8" t="s">
        <v>12</v>
      </c>
      <c r="B8" t="s">
        <v>13</v>
      </c>
      <c r="C8" t="s">
        <v>27</v>
      </c>
      <c r="D8" t="s">
        <v>28</v>
      </c>
      <c r="E8" t="s">
        <v>43</v>
      </c>
      <c r="I8" t="s">
        <v>16</v>
      </c>
      <c r="J8">
        <v>22</v>
      </c>
      <c r="K8">
        <v>22</v>
      </c>
      <c r="M8" t="s">
        <v>49</v>
      </c>
      <c r="N8" t="str">
        <f t="shared" si="0"/>
        <v>get router info routing-table details 10.17.42.6 | grep -f *</v>
      </c>
      <c r="O8" t="s">
        <v>50</v>
      </c>
      <c r="P8" t="s">
        <v>51</v>
      </c>
      <c r="Q8" t="str">
        <f t="shared" si="1"/>
        <v>diagnose firewall iprope lookup 10.17.42.6 22 10.201.1.2 22 tcp E2-EH-AGN</v>
      </c>
    </row>
    <row r="9" spans="1:17" x14ac:dyDescent="0.3">
      <c r="A9" t="s">
        <v>12</v>
      </c>
      <c r="B9" t="s">
        <v>13</v>
      </c>
      <c r="C9" t="s">
        <v>29</v>
      </c>
      <c r="D9" t="s">
        <v>30</v>
      </c>
      <c r="E9" t="s">
        <v>44</v>
      </c>
      <c r="I9" t="s">
        <v>16</v>
      </c>
      <c r="J9">
        <v>22</v>
      </c>
      <c r="K9">
        <v>22</v>
      </c>
      <c r="M9" t="s">
        <v>49</v>
      </c>
      <c r="N9" t="str">
        <f t="shared" si="0"/>
        <v>get router info routing-table details 10.222.210.166 | grep -f *</v>
      </c>
      <c r="O9" t="s">
        <v>50</v>
      </c>
      <c r="P9" t="s">
        <v>52</v>
      </c>
      <c r="Q9" t="str">
        <f t="shared" si="1"/>
        <v>diagnose firewall iprope lookup 10.222.210.166 22 10.201.1.2 22 tcp E2-EH-VPN</v>
      </c>
    </row>
    <row r="10" spans="1:17" x14ac:dyDescent="0.3">
      <c r="A10" t="s">
        <v>12</v>
      </c>
      <c r="B10" t="s">
        <v>13</v>
      </c>
      <c r="C10" t="s">
        <v>31</v>
      </c>
      <c r="D10" t="s">
        <v>32</v>
      </c>
      <c r="E10" t="s">
        <v>45</v>
      </c>
      <c r="I10" t="s">
        <v>16</v>
      </c>
      <c r="J10">
        <v>22</v>
      </c>
      <c r="K10">
        <v>22</v>
      </c>
      <c r="M10" t="s">
        <v>49</v>
      </c>
      <c r="N10" t="str">
        <f t="shared" si="0"/>
        <v>get router info routing-table details 10.201.19.10 | grep -f *</v>
      </c>
      <c r="O10" t="s">
        <v>50</v>
      </c>
      <c r="P10" t="s">
        <v>53</v>
      </c>
      <c r="Q10" t="str">
        <f t="shared" si="1"/>
        <v>diagnose firewall iprope lookup 10.201.19.10 22 10.201.1.2 22 tcp E2-EH-CORE</v>
      </c>
    </row>
    <row r="11" spans="1:17" x14ac:dyDescent="0.3">
      <c r="A11" t="s">
        <v>12</v>
      </c>
      <c r="B11" t="s">
        <v>13</v>
      </c>
      <c r="C11" t="s">
        <v>33</v>
      </c>
      <c r="D11" t="s">
        <v>34</v>
      </c>
      <c r="E11" t="s">
        <v>46</v>
      </c>
      <c r="I11" t="s">
        <v>16</v>
      </c>
      <c r="J11">
        <v>22</v>
      </c>
      <c r="K11">
        <v>22</v>
      </c>
      <c r="M11" t="s">
        <v>49</v>
      </c>
      <c r="N11" t="str">
        <f t="shared" si="0"/>
        <v>get router info routing-table details 10.201.19.139 | grep -f *</v>
      </c>
      <c r="O11" t="s">
        <v>50</v>
      </c>
      <c r="P11" t="s">
        <v>53</v>
      </c>
      <c r="Q11" t="str">
        <f t="shared" si="1"/>
        <v>diagnose firewall iprope lookup 10.201.19.139 22 10.201.1.2 22 tcp E2-EH-CORE</v>
      </c>
    </row>
    <row r="12" spans="1:17" x14ac:dyDescent="0.3">
      <c r="A12" t="s">
        <v>12</v>
      </c>
      <c r="B12" t="s">
        <v>13</v>
      </c>
      <c r="C12" t="s">
        <v>35</v>
      </c>
      <c r="D12" t="s">
        <v>36</v>
      </c>
      <c r="E12" t="s">
        <v>47</v>
      </c>
      <c r="I12" t="s">
        <v>16</v>
      </c>
      <c r="J12">
        <v>22</v>
      </c>
      <c r="K12">
        <v>22</v>
      </c>
      <c r="M12" t="s">
        <v>49</v>
      </c>
      <c r="N12" t="str">
        <f t="shared" si="0"/>
        <v>get router info routing-table details 10.196.65.49 | grep -f *</v>
      </c>
      <c r="O12" t="s">
        <v>50</v>
      </c>
      <c r="P12" t="s">
        <v>52</v>
      </c>
      <c r="Q12" t="str">
        <f t="shared" si="1"/>
        <v>diagnose firewall iprope lookup 10.196.65.49 22 10.201.1.2 22 tcp E2-EH-VPN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E3BF-5D33-4CBC-91DE-9A28A95A96EC}">
  <dimension ref="A1:A34"/>
  <sheetViews>
    <sheetView workbookViewId="0">
      <selection sqref="A1:A34"/>
    </sheetView>
  </sheetViews>
  <sheetFormatPr defaultRowHeight="14" x14ac:dyDescent="0.3"/>
  <cols>
    <col min="1" max="1" width="97.4140625" bestFit="1" customWidth="1"/>
  </cols>
  <sheetData>
    <row r="1" spans="1:1" x14ac:dyDescent="0.3">
      <c r="A1" t="s">
        <v>54</v>
      </c>
    </row>
    <row r="2" spans="1:1" x14ac:dyDescent="0.3">
      <c r="A2" t="s">
        <v>55</v>
      </c>
    </row>
    <row r="4" spans="1:1" x14ac:dyDescent="0.3">
      <c r="A4" t="s">
        <v>56</v>
      </c>
    </row>
    <row r="5" spans="1:1" x14ac:dyDescent="0.3">
      <c r="A5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3" spans="1:1" x14ac:dyDescent="0.3">
      <c r="A13" t="s">
        <v>62</v>
      </c>
    </row>
    <row r="14" spans="1:1" x14ac:dyDescent="0.3">
      <c r="A14" t="s">
        <v>63</v>
      </c>
    </row>
    <row r="16" spans="1:1" x14ac:dyDescent="0.3">
      <c r="A16" t="s">
        <v>64</v>
      </c>
    </row>
    <row r="17" spans="1:1" x14ac:dyDescent="0.3">
      <c r="A17" t="s">
        <v>65</v>
      </c>
    </row>
    <row r="19" spans="1:1" x14ac:dyDescent="0.3">
      <c r="A19" t="s">
        <v>66</v>
      </c>
    </row>
    <row r="20" spans="1:1" x14ac:dyDescent="0.3">
      <c r="A20" t="s">
        <v>67</v>
      </c>
    </row>
    <row r="22" spans="1:1" x14ac:dyDescent="0.3">
      <c r="A22" t="s">
        <v>68</v>
      </c>
    </row>
    <row r="23" spans="1:1" x14ac:dyDescent="0.3">
      <c r="A23" t="s">
        <v>69</v>
      </c>
    </row>
    <row r="25" spans="1:1" x14ac:dyDescent="0.3">
      <c r="A25" t="s">
        <v>70</v>
      </c>
    </row>
    <row r="26" spans="1:1" x14ac:dyDescent="0.3">
      <c r="A26" t="s">
        <v>71</v>
      </c>
    </row>
    <row r="28" spans="1:1" x14ac:dyDescent="0.3">
      <c r="A28" t="s">
        <v>72</v>
      </c>
    </row>
    <row r="29" spans="1:1" x14ac:dyDescent="0.3">
      <c r="A29" t="s">
        <v>73</v>
      </c>
    </row>
    <row r="31" spans="1:1" x14ac:dyDescent="0.3">
      <c r="A31" t="s">
        <v>74</v>
      </c>
    </row>
    <row r="32" spans="1:1" x14ac:dyDescent="0.3">
      <c r="A32" t="s">
        <v>75</v>
      </c>
    </row>
    <row r="34" spans="1:1" x14ac:dyDescent="0.3">
      <c r="A3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10.201.1.2_ads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2025-12-15T10:46:03Z</dcterms:created>
  <dcterms:modified xsi:type="dcterms:W3CDTF">2025-12-15T13:28:21Z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2025-12-15T10:46:03Z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dc3e0108-535a-4c91-9cf8-ed79380ee172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