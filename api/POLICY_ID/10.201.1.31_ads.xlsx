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tawade\Desktop\New folder\"/>
    </mc:Choice>
  </mc:AlternateContent>
  <xr:revisionPtr revIDLastSave="0" documentId="13_ncr:1_{508E1074-9BA4-454F-B9A3-B52C0BE1D64E}" xr6:coauthVersionLast="47" xr6:coauthVersionMax="47" xr10:uidLastSave="{00000000-0000-0000-0000-000000000000}"/>
  <bookViews>
    <workbookView xWindow="-110" yWindow="-110" windowWidth="19420" windowHeight="11500" xr2:uid="{BCAA54A8-D54F-4A8B-96DA-20787A708CB5}"/>
  </bookViews>
  <sheets>
    <sheet name="10.201.1.31_ads" sheetId="1" r:id="rId1"/>
    <sheet name="Sheet1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3" i="1" l="1"/>
  <c r="Q4" i="1"/>
  <c r="Q5" i="1"/>
  <c r="Q6" i="1"/>
  <c r="Q7" i="1"/>
  <c r="Q8" i="1"/>
  <c r="Q9" i="1"/>
  <c r="Q10" i="1"/>
  <c r="Q11" i="1"/>
  <c r="Q12" i="1"/>
  <c r="Q13" i="1"/>
  <c r="Q14" i="1"/>
  <c r="Q15" i="1"/>
  <c r="Q16" i="1"/>
  <c r="Q17" i="1"/>
  <c r="Q18" i="1"/>
  <c r="Q19" i="1"/>
  <c r="Q20" i="1"/>
  <c r="Q21" i="1"/>
  <c r="Q22" i="1"/>
  <c r="Q23" i="1"/>
  <c r="Q24" i="1"/>
  <c r="Q25" i="1"/>
  <c r="Q26" i="1"/>
  <c r="Q27" i="1"/>
  <c r="Q28" i="1"/>
  <c r="Q29" i="1"/>
  <c r="Q30" i="1"/>
  <c r="Q31" i="1"/>
  <c r="Q32" i="1"/>
  <c r="Q33" i="1"/>
  <c r="Q34" i="1"/>
  <c r="Q35" i="1"/>
  <c r="Q36" i="1"/>
  <c r="Q37" i="1"/>
  <c r="Q38" i="1"/>
  <c r="Q39" i="1"/>
  <c r="Q40" i="1"/>
  <c r="Q41" i="1"/>
  <c r="Q42" i="1"/>
  <c r="Q43" i="1"/>
  <c r="Q2" i="1"/>
  <c r="N3" i="1"/>
  <c r="N4" i="1"/>
  <c r="N5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33" i="1"/>
  <c r="N34" i="1"/>
  <c r="N35" i="1"/>
  <c r="N36" i="1"/>
  <c r="N37" i="1"/>
  <c r="N38" i="1"/>
  <c r="N39" i="1"/>
  <c r="N40" i="1"/>
  <c r="N41" i="1"/>
  <c r="N42" i="1"/>
  <c r="N43" i="1"/>
  <c r="N2" i="1"/>
</calcChain>
</file>

<file path=xl/sharedStrings.xml><?xml version="1.0" encoding="utf-8"?>
<sst xmlns="http://schemas.openxmlformats.org/spreadsheetml/2006/main" count="480" uniqueCount="201">
  <si>
    <t>resource_name</t>
  </si>
  <si>
    <t>type</t>
  </si>
  <si>
    <t>name</t>
  </si>
  <si>
    <t>description</t>
  </si>
  <si>
    <t>cidr_ipv4</t>
  </si>
  <si>
    <t>cidr_ipv6</t>
  </si>
  <si>
    <t>prefix_list_id</t>
  </si>
  <si>
    <t>referenced_security_group_id</t>
  </si>
  <si>
    <t>protocol</t>
  </si>
  <si>
    <t>from_port</t>
  </si>
  <si>
    <t>to_port</t>
  </si>
  <si>
    <t>policy_id</t>
  </si>
  <si>
    <t>sg</t>
  </si>
  <si>
    <t>ingress</t>
  </si>
  <si>
    <t>ads-rule-10001</t>
  </si>
  <si>
    <t>From ADS data. Allow from 10.201.29.83</t>
  </si>
  <si>
    <t>tcp</t>
  </si>
  <si>
    <t>ads-rule-10002</t>
  </si>
  <si>
    <t>ads-rule-10007</t>
  </si>
  <si>
    <t>From ADS data. Allow from 10.222.131.201</t>
  </si>
  <si>
    <t>ads-rule-10008</t>
  </si>
  <si>
    <t>From ADS data. Allow from 10.72.42.5</t>
  </si>
  <si>
    <t>ads-rule-10016</t>
  </si>
  <si>
    <t>From ADS data. Allow from 10.222.64.173</t>
  </si>
  <si>
    <t>ads-rule-10017</t>
  </si>
  <si>
    <t>From ADS data. Allow from 10.201.29.80</t>
  </si>
  <si>
    <t>ads-rule-10019</t>
  </si>
  <si>
    <t>ads-rule-10023</t>
  </si>
  <si>
    <t>From ADS data. Allow from 10.201.29.17</t>
  </si>
  <si>
    <t>ads-rule-10024</t>
  </si>
  <si>
    <t>ads-rule-10025</t>
  </si>
  <si>
    <t>From ADS data. Allow from 10.201.29.49</t>
  </si>
  <si>
    <t>ads-rule-10026</t>
  </si>
  <si>
    <t>ads-rule-10031</t>
  </si>
  <si>
    <t>From ADS data. Allow from 10.201.29.18</t>
  </si>
  <si>
    <t>ads-rule-10032</t>
  </si>
  <si>
    <t>ads-rule-10033</t>
  </si>
  <si>
    <t>From ADS data. Allow from 10.201.29.10</t>
  </si>
  <si>
    <t>ads-rule-10034</t>
  </si>
  <si>
    <t>ads-rule-10035</t>
  </si>
  <si>
    <t>From ADS data. Allow from 10.201.29.16</t>
  </si>
  <si>
    <t>ads-rule-10036</t>
  </si>
  <si>
    <t>ads-rule-10037</t>
  </si>
  <si>
    <t>From ADS data. Allow from 10.201.29.21</t>
  </si>
  <si>
    <t>ads-rule-10038</t>
  </si>
  <si>
    <t>ads-rule-10043</t>
  </si>
  <si>
    <t>From ADS data. Allow from 10.201.29.84</t>
  </si>
  <si>
    <t>ads-rule-10044</t>
  </si>
  <si>
    <t>ads-rule-10049</t>
  </si>
  <si>
    <t>From ADS data. Allow from 10.201.29.137</t>
  </si>
  <si>
    <t>ads-rule-10050</t>
  </si>
  <si>
    <t>ads-rule-10051</t>
  </si>
  <si>
    <t>From ADS data. Allow from 10.201.29.79</t>
  </si>
  <si>
    <t>ads-rule-10052</t>
  </si>
  <si>
    <t>ads-rule-10055</t>
  </si>
  <si>
    <t>From ADS data. Allow from 10.201.29.35</t>
  </si>
  <si>
    <t>ads-rule-10056</t>
  </si>
  <si>
    <t>ads-rule-10061</t>
  </si>
  <si>
    <t>From ADS data. Allow from 10.201.29.125</t>
  </si>
  <si>
    <t>ads-rule-10062</t>
  </si>
  <si>
    <t>ads-rule-10063</t>
  </si>
  <si>
    <t>From ADS data. Allow from 10.222.210.166</t>
  </si>
  <si>
    <t>ads-rule-10065</t>
  </si>
  <si>
    <t>From ADS data. Allow from 10.222.64.198</t>
  </si>
  <si>
    <t>ads-rule-10066</t>
  </si>
  <si>
    <t>From ADS data. Allow from 10.17.42.6</t>
  </si>
  <si>
    <t>ads-rule-10067</t>
  </si>
  <si>
    <t>From ADS data. Allow from 10.201.29.146</t>
  </si>
  <si>
    <t>ads-rule-10068</t>
  </si>
  <si>
    <t>ads-rule-10069</t>
  </si>
  <si>
    <t>From ADS data. Allow from 10.201.29.15</t>
  </si>
  <si>
    <t>ads-rule-10070</t>
  </si>
  <si>
    <t>ads-rule-10071</t>
  </si>
  <si>
    <t>From ADS data. Allow from 10.201.29.82</t>
  </si>
  <si>
    <t>ads-rule-10072</t>
  </si>
  <si>
    <t>ads-rule-10077</t>
  </si>
  <si>
    <t>From ADS data. Allow from 10.222.131.196</t>
  </si>
  <si>
    <t>ads-rule-10078</t>
  </si>
  <si>
    <t>From ADS data. Allow from 10.222.65.106</t>
  </si>
  <si>
    <t>ads-rule-10079</t>
  </si>
  <si>
    <t>From ADS data. Allow from 10.222.73.41</t>
  </si>
  <si>
    <t>ads-rule-10080</t>
  </si>
  <si>
    <t>From ADS data. Allow from 10.222.65.208</t>
  </si>
  <si>
    <t>10.201.29.83</t>
  </si>
  <si>
    <t>10.222.131.201</t>
  </si>
  <si>
    <t>10.72.42.5</t>
  </si>
  <si>
    <t>10.222.64.173</t>
  </si>
  <si>
    <t>10.201.29.80</t>
  </si>
  <si>
    <t>10.201.29.17</t>
  </si>
  <si>
    <t>10.201.29.49</t>
  </si>
  <si>
    <t>10.201.29.18</t>
  </si>
  <si>
    <t>10.201.29.10</t>
  </si>
  <si>
    <t>10.201.29.16</t>
  </si>
  <si>
    <t>10.201.29.21</t>
  </si>
  <si>
    <t>10.201.29.84</t>
  </si>
  <si>
    <t>10.201.29.137</t>
  </si>
  <si>
    <t>10.201.29.79</t>
  </si>
  <si>
    <t>10.201.29.35</t>
  </si>
  <si>
    <t>10.201.29.125</t>
  </si>
  <si>
    <t>10.222.210.166</t>
  </si>
  <si>
    <t>10.222.64.198</t>
  </si>
  <si>
    <t>10.17.42.6</t>
  </si>
  <si>
    <t>10.201.29.146</t>
  </si>
  <si>
    <t>10.201.29.15</t>
  </si>
  <si>
    <t>10.201.29.82</t>
  </si>
  <si>
    <t>10.222.131.196</t>
  </si>
  <si>
    <t>10.222.65.106</t>
  </si>
  <si>
    <t>10.222.73.41</t>
  </si>
  <si>
    <t>10.222.65.208</t>
  </si>
  <si>
    <t>aa</t>
  </si>
  <si>
    <t>get router info routing-table details</t>
  </si>
  <si>
    <t>diagnose firewall iprope lookup</t>
  </si>
  <si>
    <t>E2-EH-CTX-APPS</t>
  </si>
  <si>
    <t>E2-EH-AGN</t>
  </si>
  <si>
    <t>EH-VDI</t>
  </si>
  <si>
    <t>E2-EH-VPN</t>
  </si>
  <si>
    <t>FR-E2-FW-EH-1-FNET $ diagnose firewall iprope lookup 10.201.29.83 8080 10.201.1.31 8080 tcp E2-EH-CTX-APPS</t>
  </si>
  <si>
    <t>&lt;src [10.201.29.83-8080] dst [10.201.1.31-8080] proto tcp dev E2-EH-CTX-APPS&gt; matches policy id: 8974</t>
  </si>
  <si>
    <t>FR-E2-FW-EH-1-FNET $ diagnose firewall iprope lookup 10.201.29.83 8443 10.201.1.31 8443 tcp E2-EH-CTX-APPS</t>
  </si>
  <si>
    <t>&lt;src [10.201.29.83-8443] dst [10.201.1.31-8443] proto tcp dev E2-EH-CTX-APPS&gt; matches policy id: 8974</t>
  </si>
  <si>
    <t>FR-E2-FW-EH-1-FNET $ diagnose firewall iprope lookup 10.222.131.201 8443 10.201.1.31 8443 tcp E2-EH-AGN</t>
  </si>
  <si>
    <t>&lt;src [10.222.131.201-8443] dst [10.201.1.31-8443] proto tcp dev E2-EH-AGN&gt; matches policy id: 4151</t>
  </si>
  <si>
    <t>FR-E2-FW-EH-1-FNET $ diagnose firewall iprope lookup 10.72.42.5 22 10.201.1.31 22 tcp E2-EH-AGN</t>
  </si>
  <si>
    <t>&lt;src [10.72.42.5-22] dst [10.201.1.31-22] proto tcp dev E2-EH-AGN&gt; matches policy id: 8870</t>
  </si>
  <si>
    <t>FR-E2-FW-EH-1-FNET $ diagnose firewall iprope lookup 10.222.64.173 8443 10.201.1.31 8443 tcp EH-VDI</t>
  </si>
  <si>
    <t>&lt;src [10.222.64.173-8443] dst [10.201.1.31-8443] proto tcp dev EH-VDI&gt; matches policy id: 4151</t>
  </si>
  <si>
    <t>FR-E2-FW-EH-1-FNET $ diagnose firewall iprope lookup 10.201.29.80 8080 10.201.1.31 8080 tcp E2-EH-CTX-APPS</t>
  </si>
  <si>
    <t>&lt;src [10.201.29.80-8080] dst [10.201.1.31-8080] proto tcp dev E2-EH-CTX-APPS&gt; matches policy id: 8974</t>
  </si>
  <si>
    <t>FR-E2-FW-EH-1-FNET $ diagnose firewall iprope lookup 10.201.29.80 8443 10.201.1.31 8443 tcp E2-EH-CTX-APPS</t>
  </si>
  <si>
    <t>&lt;src [10.201.29.80-8443] dst [10.201.1.31-8443] proto tcp dev E2-EH-CTX-APPS&gt; matches policy id: 8974</t>
  </si>
  <si>
    <t>FR-E2-FW-EH-1-FNET $ diagnose firewall iprope lookup 10.201.29.17 8080 10.201.1.31 8080 tcp E2-EH-CTX-APPS</t>
  </si>
  <si>
    <t>&lt;src [10.201.29.17-8080] dst [10.201.1.31-8080] proto tcp dev E2-EH-CTX-APPS&gt; matches policy id: 8974</t>
  </si>
  <si>
    <t>FR-E2-FW-EH-1-FNET $ diagnose firewall iprope lookup 10.201.29.17 8443 10.201.1.31 8443 tcp E2-EH-CTX-APPS</t>
  </si>
  <si>
    <t>&lt;src [10.201.29.17-8443] dst [10.201.1.31-8443] proto tcp dev E2-EH-CTX-APPS&gt; matches policy id: 8974</t>
  </si>
  <si>
    <t>FR-E2-FW-EH-1-FNET $ diagnose firewall iprope lookup 10.201.29.49 8443 10.201.1.31 8443 tcp E2-EH-CTX-APPS</t>
  </si>
  <si>
    <t>&lt;src [10.201.29.49-8443] dst [10.201.1.31-8443] proto tcp dev E2-EH-CTX-APPS&gt; matches policy id: 8974</t>
  </si>
  <si>
    <t>FR-E2-FW-EH-1-FNET $ diagnose firewall iprope lookup 10.201.29.49 8080 10.201.1.31 8080 tcp E2-EH-CTX-APPS</t>
  </si>
  <si>
    <t>&lt;src [10.201.29.49-8080] dst [10.201.1.31-8080] proto tcp dev E2-EH-CTX-APPS&gt; matches policy id: 8974</t>
  </si>
  <si>
    <t>FR-E2-FW-EH-1-FNET $ diagnose firewall iprope lookup 10.201.29.18 8443 10.201.1.31 8443 tcp E2-EH-CTX-APPS</t>
  </si>
  <si>
    <t>&lt;src [10.201.29.18-8443] dst [10.201.1.31-8443] proto tcp dev E2-EH-CTX-APPS&gt; matches policy id: 8974</t>
  </si>
  <si>
    <t>FR-E2-FW-EH-1-FNET $ diagnose firewall iprope lookup 10.201.29.18 8080 10.201.1.31 8080 tcp E2-EH-CTX-APPS</t>
  </si>
  <si>
    <t>&lt;src [10.201.29.18-8080] dst [10.201.1.31-8080] proto tcp dev E2-EH-CTX-APPS&gt; matches policy id: 8974</t>
  </si>
  <si>
    <t>FR-E2-FW-EH-1-FNET $ diagnose firewall iprope lookup 10.201.29.10 8080 10.201.1.31 8080 tcp E2-EH-CTX-APPS</t>
  </si>
  <si>
    <t>&lt;src [10.201.29.10-8080] dst [10.201.1.31-8080] proto tcp dev E2-EH-CTX-APPS&gt; matches policy id: 8974</t>
  </si>
  <si>
    <t>FR-E2-FW-EH-1-FNET $ diagnose firewall iprope lookup 10.201.29.10 8443 10.201.1.31 8443 tcp E2-EH-CTX-APPS</t>
  </si>
  <si>
    <t>&lt;src [10.201.29.10-8443] dst [10.201.1.31-8443] proto tcp dev E2-EH-CTX-APPS&gt; matches policy id: 8974</t>
  </si>
  <si>
    <t>FR-E2-FW-EH-1-FNET $ diagnose firewall iprope lookup 10.201.29.16 8080 10.201.1.31 8080 tcp E2-EH-CTX-APPS</t>
  </si>
  <si>
    <t>&lt;src [10.201.29.16-8080] dst [10.201.1.31-8080] proto tcp dev E2-EH-CTX-APPS&gt; matches policy id: 8974</t>
  </si>
  <si>
    <t>FR-E2-FW-EH-1-FNET $ diagnose firewall iprope lookup 10.201.29.16 8443 10.201.1.31 8443 tcp E2-EH-CTX-APPS</t>
  </si>
  <si>
    <t>&lt;src [10.201.29.16-8443] dst [10.201.1.31-8443] proto tcp dev E2-EH-CTX-APPS&gt; matches policy id: 8974</t>
  </si>
  <si>
    <t>FR-E2-FW-EH-1-FNET $ diagnose firewall iprope lookup 10.201.29.21 8080 10.201.1.31 8080 tcp E2-EH-CTX-APPS</t>
  </si>
  <si>
    <t>&lt;src [10.201.29.21-8080] dst [10.201.1.31-8080] proto tcp dev E2-EH-CTX-APPS&gt; matches policy id: 8974</t>
  </si>
  <si>
    <t>FR-E2-FW-EH-1-FNET $ diagnose firewall iprope lookup 10.201.29.21 8443 10.201.1.31 8443 tcp E2-EH-CTX-APPS</t>
  </si>
  <si>
    <t>&lt;src [10.201.29.21-8443] dst [10.201.1.31-8443] proto tcp dev E2-EH-CTX-APPS&gt; matches policy id: 8974</t>
  </si>
  <si>
    <t>FR-E2-FW-EH-1-FNET $ diagnose firewall iprope lookup 10.201.29.84 8080 10.201.1.31 8080 tcp E2-EH-CTX-APPS</t>
  </si>
  <si>
    <t>&lt;src [10.201.29.84-8080] dst [10.201.1.31-8080] proto tcp dev E2-EH-CTX-APPS&gt; matches policy id: 8974</t>
  </si>
  <si>
    <t>FR-E2-FW-EH-1-FNET $ diagnose firewall iprope lookup 10.201.29.84 8443 10.201.1.31 8443 tcp E2-EH-CTX-APPS</t>
  </si>
  <si>
    <t>&lt;src [10.201.29.84-8443] dst [10.201.1.31-8443] proto tcp dev E2-EH-CTX-APPS&gt; matches policy id: 8974</t>
  </si>
  <si>
    <t>FR-E2-FW-EH-1-FNET $ diagnose firewall iprope lookup 10.201.29.137 8443 10.201.1.31 8443 tcp E2-EH-CTX-APPS</t>
  </si>
  <si>
    <t>&lt;src [10.201.29.137-8443] dst [10.201.1.31-8443] proto tcp dev E2-EH-CTX-APPS&gt; matches policy id: 8974</t>
  </si>
  <si>
    <t>FR-E2-FW-EH-1-FNET $ diagnose firewall iprope lookup 10.201.29.137 8080 10.201.1.31 8080 tcp E2-EH-CTX-APPS</t>
  </si>
  <si>
    <t>&lt;src [10.201.29.137-8080] dst [10.201.1.31-8080] proto tcp dev E2-EH-CTX-APPS&gt; matches policy id: 8974</t>
  </si>
  <si>
    <t>FR-E2-FW-EH-1-FNET $ diagnose firewall iprope lookup 10.201.29.79 8080 10.201.1.31 8080 tcp E2-EH-CTX-APPS</t>
  </si>
  <si>
    <t>&lt;src [10.201.29.79-8080] dst [10.201.1.31-8080] proto tcp dev E2-EH-CTX-APPS&gt; matches policy id: 8974</t>
  </si>
  <si>
    <t>FR-E2-FW-EH-1-FNET $ diagnose firewall iprope lookup 10.201.29.79 8443 10.201.1.31 8443 tcp E2-EH-CTX-APPS</t>
  </si>
  <si>
    <t>&lt;src [10.201.29.79-8443] dst [10.201.1.31-8443] proto tcp dev E2-EH-CTX-APPS&gt; matches policy id: 8974</t>
  </si>
  <si>
    <t>FR-E2-FW-EH-1-FNET $ diagnose firewall iprope lookup 10.201.29.35 8080 10.201.1.31 8080 tcp E2-EH-CTX-APPS</t>
  </si>
  <si>
    <t>&lt;src [10.201.29.35-8080] dst [10.201.1.31-8080] proto tcp dev E2-EH-CTX-APPS&gt; matches policy id: 8974</t>
  </si>
  <si>
    <t>FR-E2-FW-EH-1-FNET $ diagnose firewall iprope lookup 10.201.29.35 8443 10.201.1.31 8443 tcp E2-EH-CTX-APPS</t>
  </si>
  <si>
    <t>&lt;src [10.201.29.35-8443] dst [10.201.1.31-8443] proto tcp dev E2-EH-CTX-APPS&gt; matches policy id: 8974</t>
  </si>
  <si>
    <t>FR-E2-FW-EH-1-FNET $ diagnose firewall iprope lookup 10.201.29.125 8443 10.201.1.31 8443 tcp E2-EH-CTX-APPS</t>
  </si>
  <si>
    <t>&lt;src [10.201.29.125-8443] dst [10.201.1.31-8443] proto tcp dev E2-EH-CTX-APPS&gt; matches policy id: 8974</t>
  </si>
  <si>
    <t>FR-E2-FW-EH-1-FNET $ diagnose firewall iprope lookup 10.201.29.125 8080 10.201.1.31 8080 tcp E2-EH-CTX-APPS</t>
  </si>
  <si>
    <t>&lt;src [10.201.29.125-8080] dst [10.201.1.31-8080] proto tcp dev E2-EH-CTX-APPS&gt; matches policy id: 8974</t>
  </si>
  <si>
    <t>FR-E2-FW-EH-1-FNET $ diagnose firewall iprope lookup 10.222.210.166 22 10.201.1.31 22 tcp E2-EH-VPN</t>
  </si>
  <si>
    <t>&lt;src [10.222.210.166-22] dst [10.201.1.31-22] proto tcp dev E2-EH-VPN&gt; matches policy id: 5189</t>
  </si>
  <si>
    <t>FR-E2-FW-EH-1-FNET $ diagnose firewall iprope lookup 10.222.64.198 8443 10.201.1.31 8443 tcp EH-VDI</t>
  </si>
  <si>
    <t>&lt;src [10.222.64.198-8443] dst [10.201.1.31-8443] proto tcp dev EH-VDI&gt; matches policy id: 4151</t>
  </si>
  <si>
    <t>FR-E2-FW-EH-1-FNET $ diagnose firewall iprope lookup 10.17.42.6 22 10.201.1.31 22 tcp E2-EH-AGN</t>
  </si>
  <si>
    <t>&lt;src [10.17.42.6-22] dst [10.201.1.31-22] proto tcp dev E2-EH-AGN&gt; matches policy id: 8870</t>
  </si>
  <si>
    <t>FR-E2-FW-EH-1-FNET $ diagnose firewall iprope lookup 10.201.29.146 8080 10.201.1.31 8080 tcp E2-EH-CTX-APPS</t>
  </si>
  <si>
    <t>&lt;src [10.201.29.146-8080] dst [10.201.1.31-8080] proto tcp dev E2-EH-CTX-APPS&gt; matches policy id: 8974</t>
  </si>
  <si>
    <t>FR-E2-FW-EH-1-FNET $ diagnose firewall iprope lookup 10.201.29.146 8443 10.201.1.31 8443 tcp E2-EH-CTX-APPS</t>
  </si>
  <si>
    <t>&lt;src [10.201.29.146-8443] dst [10.201.1.31-8443] proto tcp dev E2-EH-CTX-APPS&gt; matches policy id: 8974</t>
  </si>
  <si>
    <t>FR-E2-FW-EH-1-FNET $ diagnose firewall iprope lookup 10.201.29.15 8080 10.201.1.31 8080 tcp E2-EH-CTX-APPS</t>
  </si>
  <si>
    <t>&lt;src [10.201.29.15-8080] dst [10.201.1.31-8080] proto tcp dev E2-EH-CTX-APPS&gt; matches policy id: 8974</t>
  </si>
  <si>
    <t>FR-E2-FW-EH-1-FNET $ diagnose firewall iprope lookup 10.201.29.15 8443 10.201.1.31 8443 tcp E2-EH-CTX-APPS</t>
  </si>
  <si>
    <t>&lt;src [10.201.29.15-8443] dst [10.201.1.31-8443] proto tcp dev E2-EH-CTX-APPS&gt; matches policy id: 8974</t>
  </si>
  <si>
    <t>FR-E2-FW-EH-1-FNET $ diagnose firewall iprope lookup 10.201.29.82 8080 10.201.1.31 8080 tcp E2-EH-CTX-APPS</t>
  </si>
  <si>
    <t>&lt;src [10.201.29.82-8080] dst [10.201.1.31-8080] proto tcp dev E2-EH-CTX-APPS&gt; matches policy id: 8974</t>
  </si>
  <si>
    <t>FR-E2-FW-EH-1-FNET $ diagnose firewall iprope lookup 10.201.29.82 8443 10.201.1.31 8443 tcp E2-EH-CTX-APPS</t>
  </si>
  <si>
    <t>&lt;src [10.201.29.82-8443] dst [10.201.1.31-8443] proto tcp dev E2-EH-CTX-APPS&gt; matches policy id: 8974</t>
  </si>
  <si>
    <t>FR-E2-FW-EH-1-FNET $ diagnose firewall iprope lookup 10.222.131.196 8080 10.201.1.31 8080 tcp E2-EH-AGN</t>
  </si>
  <si>
    <t>&lt;src [10.222.131.196-8080] dst [10.201.1.31-8080] proto tcp dev E2-EH-AGN&gt; matches policy id: 4151</t>
  </si>
  <si>
    <t>FR-E2-FW-EH-1-FNET $ diagnose firewall iprope lookup 10.222.65.106 8443 10.201.1.31 8443 tcp EH-VDI</t>
  </si>
  <si>
    <t>&lt;src [10.222.65.106-8443] dst [10.201.1.31-8443] proto tcp dev EH-VDI&gt; matches policy id: 4151</t>
  </si>
  <si>
    <t>FR-E2-FW-EH-1-FNET $ diagnose firewall iprope lookup 10.222.73.41 8443 10.201.1.31 8443 tcp EH-VDI</t>
  </si>
  <si>
    <t>&lt;src [10.222.73.41-8443] dst [10.201.1.31-8443] proto tcp dev EH-VDI&gt; matches policy id: 4151</t>
  </si>
  <si>
    <t>FR-E2-FW-EH-1-FNET $ diagnose firewall iprope lookup 10.222.65.208 8080 10.201.1.31 8080 tcp EH-VDI</t>
  </si>
  <si>
    <t>&lt;src [10.222.65.208-8080] dst [10.201.1.31-8080] proto tcp dev EH-VDI&gt; matches policy id: 4151</t>
  </si>
  <si>
    <t>FR-E2-FW-EH-1-FNET $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</si>
</sst>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rial"/>
      <family val="2"/>
    </font>
    <font>
      <sz val="11"/>
      <color theme="1"/>
      <name val="Arial"/>
      <family val="2"/>
    </font>
    <font>
      <sz val="18"/>
      <color theme="3"/>
      <name val="Aptos Display"/>
      <family val="2"/>
      <scheme val="major"/>
    </font>
    <font>
      <b/>
      <sz val="15"/>
      <color theme="3"/>
      <name val="Arial"/>
      <family val="2"/>
    </font>
    <font>
      <b/>
      <sz val="13"/>
      <color theme="3"/>
      <name val="Arial"/>
      <family val="2"/>
    </font>
    <font>
      <b/>
      <sz val="11"/>
      <color theme="3"/>
      <name val="Arial"/>
      <family val="2"/>
    </font>
    <font>
      <sz val="11"/>
      <color rgb="FF006100"/>
      <name val="Arial"/>
      <family val="2"/>
    </font>
    <font>
      <sz val="11"/>
      <color rgb="FF9C0006"/>
      <name val="Arial"/>
      <family val="2"/>
    </font>
    <font>
      <sz val="11"/>
      <color rgb="FF9C5700"/>
      <name val="Arial"/>
      <family val="2"/>
    </font>
    <font>
      <sz val="11"/>
      <color rgb="FF3F3F76"/>
      <name val="Arial"/>
      <family val="2"/>
    </font>
    <font>
      <b/>
      <sz val="11"/>
      <color rgb="FF3F3F3F"/>
      <name val="Arial"/>
      <family val="2"/>
    </font>
    <font>
      <b/>
      <sz val="11"/>
      <color rgb="FFFA7D00"/>
      <name val="Arial"/>
      <family val="2"/>
    </font>
    <font>
      <sz val="11"/>
      <color rgb="FFFA7D00"/>
      <name val="Arial"/>
      <family val="2"/>
    </font>
    <font>
      <b/>
      <sz val="11"/>
      <color theme="0"/>
      <name val="Arial"/>
      <family val="2"/>
    </font>
    <font>
      <sz val="11"/>
      <color rgb="FFFF0000"/>
      <name val="Arial"/>
      <family val="2"/>
    </font>
    <font>
      <i/>
      <sz val="11"/>
      <color rgb="FF7F7F7F"/>
      <name val="Arial"/>
      <family val="2"/>
    </font>
    <font>
      <b/>
      <sz val="11"/>
      <color theme="1"/>
      <name val="Arial"/>
      <family val="2"/>
    </font>
    <font>
      <sz val="11"/>
      <color theme="0"/>
      <name val="Arial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ECC4D0-AF46-4449-9047-5AE47C64E3B8}">
  <dimension ref="A1:Q43"/>
  <sheetViews>
    <sheetView tabSelected="1" topLeftCell="O22" workbookViewId="0">
      <selection activeCell="Q2" sqref="Q2:Q43"/>
    </sheetView>
  </sheetViews>
  <sheetFormatPr defaultRowHeight="14" x14ac:dyDescent="0.3"/>
  <cols>
    <col min="1" max="1" width="13.25" bestFit="1" customWidth="1"/>
    <col min="2" max="2" width="6.5" bestFit="1" customWidth="1"/>
    <col min="3" max="3" width="12.6640625" bestFit="1" customWidth="1"/>
    <col min="4" max="4" width="36.33203125" bestFit="1" customWidth="1"/>
    <col min="5" max="5" width="15.83203125" bestFit="1" customWidth="1"/>
    <col min="6" max="6" width="8" bestFit="1" customWidth="1"/>
    <col min="7" max="7" width="10.75" bestFit="1" customWidth="1"/>
    <col min="8" max="8" width="24.75" bestFit="1" customWidth="1"/>
    <col min="9" max="9" width="7.33203125" bestFit="1" customWidth="1"/>
    <col min="11" max="11" width="6.5" bestFit="1" customWidth="1"/>
    <col min="12" max="12" width="7.83203125" bestFit="1" customWidth="1"/>
    <col min="13" max="13" width="28.25" bestFit="1" customWidth="1"/>
    <col min="14" max="14" width="49.75" bestFit="1" customWidth="1"/>
    <col min="15" max="15" width="25.75" bestFit="1" customWidth="1"/>
    <col min="16" max="16" width="25.75" customWidth="1"/>
    <col min="17" max="17" width="75.25" bestFit="1" customWidth="1"/>
  </cols>
  <sheetData>
    <row r="1" spans="1:1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109</v>
      </c>
      <c r="N1" t="s">
        <v>109</v>
      </c>
      <c r="O1" t="s">
        <v>109</v>
      </c>
      <c r="P1" t="s">
        <v>109</v>
      </c>
      <c r="Q1" t="s">
        <v>109</v>
      </c>
    </row>
    <row r="2" spans="1:17" x14ac:dyDescent="0.3">
      <c r="A2" t="s">
        <v>12</v>
      </c>
      <c r="B2" t="s">
        <v>13</v>
      </c>
      <c r="C2" t="s">
        <v>14</v>
      </c>
      <c r="D2" t="s">
        <v>15</v>
      </c>
      <c r="E2" t="s">
        <v>83</v>
      </c>
      <c r="I2" t="s">
        <v>16</v>
      </c>
      <c r="J2">
        <v>8080</v>
      </c>
      <c r="K2">
        <v>8080</v>
      </c>
      <c r="M2" t="s">
        <v>110</v>
      </c>
      <c r="N2" t="str">
        <f>_xlfn.CONCAT(M2," ",E2, " | grep -f *")</f>
        <v>get router info routing-table details 10.201.29.83 | grep -f *</v>
      </c>
      <c r="O2" t="s">
        <v>111</v>
      </c>
      <c r="P2" t="s">
        <v>112</v>
      </c>
      <c r="Q2" t="str">
        <f>_xlfn.CONCAT(O2," ",E2," ",J2," 10.201.1.31 ",K2, " tcp ",P2,"")</f>
        <v>diagnose firewall iprope lookup 10.201.29.83 8080 10.201.1.31 8080 tcp E2-EH-CTX-APPS</v>
      </c>
    </row>
    <row r="3" spans="1:17" x14ac:dyDescent="0.3">
      <c r="A3" t="s">
        <v>12</v>
      </c>
      <c r="B3" t="s">
        <v>13</v>
      </c>
      <c r="C3" t="s">
        <v>17</v>
      </c>
      <c r="D3" t="s">
        <v>15</v>
      </c>
      <c r="E3" t="s">
        <v>83</v>
      </c>
      <c r="I3" t="s">
        <v>16</v>
      </c>
      <c r="J3">
        <v>8443</v>
      </c>
      <c r="K3">
        <v>8443</v>
      </c>
      <c r="M3" t="s">
        <v>110</v>
      </c>
      <c r="N3" t="str">
        <f t="shared" ref="N3:N43" si="0">_xlfn.CONCAT(M3," ",E3, " | grep -f *")</f>
        <v>get router info routing-table details 10.201.29.83 | grep -f *</v>
      </c>
      <c r="O3" t="s">
        <v>111</v>
      </c>
      <c r="P3" t="s">
        <v>112</v>
      </c>
      <c r="Q3" t="str">
        <f t="shared" ref="Q3:Q43" si="1">_xlfn.CONCAT(O3," ",E3," ",J3," 10.201.1.31 ",K3, " tcp ",P3,"")</f>
        <v>diagnose firewall iprope lookup 10.201.29.83 8443 10.201.1.31 8443 tcp E2-EH-CTX-APPS</v>
      </c>
    </row>
    <row r="4" spans="1:17" x14ac:dyDescent="0.3">
      <c r="A4" t="s">
        <v>12</v>
      </c>
      <c r="B4" t="s">
        <v>13</v>
      </c>
      <c r="C4" t="s">
        <v>18</v>
      </c>
      <c r="D4" t="s">
        <v>19</v>
      </c>
      <c r="E4" t="s">
        <v>84</v>
      </c>
      <c r="I4" t="s">
        <v>16</v>
      </c>
      <c r="J4">
        <v>8443</v>
      </c>
      <c r="K4">
        <v>8443</v>
      </c>
      <c r="M4" t="s">
        <v>110</v>
      </c>
      <c r="N4" t="str">
        <f t="shared" si="0"/>
        <v>get router info routing-table details 10.222.131.201 | grep -f *</v>
      </c>
      <c r="O4" t="s">
        <v>111</v>
      </c>
      <c r="P4" t="s">
        <v>113</v>
      </c>
      <c r="Q4" t="str">
        <f t="shared" si="1"/>
        <v>diagnose firewall iprope lookup 10.222.131.201 8443 10.201.1.31 8443 tcp E2-EH-AGN</v>
      </c>
    </row>
    <row r="5" spans="1:17" x14ac:dyDescent="0.3">
      <c r="A5" t="s">
        <v>12</v>
      </c>
      <c r="B5" t="s">
        <v>13</v>
      </c>
      <c r="C5" t="s">
        <v>20</v>
      </c>
      <c r="D5" t="s">
        <v>21</v>
      </c>
      <c r="E5" t="s">
        <v>85</v>
      </c>
      <c r="I5" t="s">
        <v>16</v>
      </c>
      <c r="J5">
        <v>22</v>
      </c>
      <c r="K5">
        <v>22</v>
      </c>
      <c r="M5" t="s">
        <v>110</v>
      </c>
      <c r="N5" t="str">
        <f t="shared" si="0"/>
        <v>get router info routing-table details 10.72.42.5 | grep -f *</v>
      </c>
      <c r="O5" t="s">
        <v>111</v>
      </c>
      <c r="P5" t="s">
        <v>113</v>
      </c>
      <c r="Q5" t="str">
        <f t="shared" si="1"/>
        <v>diagnose firewall iprope lookup 10.72.42.5 22 10.201.1.31 22 tcp E2-EH-AGN</v>
      </c>
    </row>
    <row r="6" spans="1:17" x14ac:dyDescent="0.3">
      <c r="A6" t="s">
        <v>12</v>
      </c>
      <c r="B6" t="s">
        <v>13</v>
      </c>
      <c r="C6" t="s">
        <v>22</v>
      </c>
      <c r="D6" t="s">
        <v>23</v>
      </c>
      <c r="E6" t="s">
        <v>86</v>
      </c>
      <c r="I6" t="s">
        <v>16</v>
      </c>
      <c r="J6">
        <v>8443</v>
      </c>
      <c r="K6">
        <v>8443</v>
      </c>
      <c r="M6" t="s">
        <v>110</v>
      </c>
      <c r="N6" t="str">
        <f t="shared" si="0"/>
        <v>get router info routing-table details 10.222.64.173 | grep -f *</v>
      </c>
      <c r="O6" t="s">
        <v>111</v>
      </c>
      <c r="P6" t="s">
        <v>114</v>
      </c>
      <c r="Q6" t="str">
        <f t="shared" si="1"/>
        <v>diagnose firewall iprope lookup 10.222.64.173 8443 10.201.1.31 8443 tcp EH-VDI</v>
      </c>
    </row>
    <row r="7" spans="1:17" x14ac:dyDescent="0.3">
      <c r="A7" t="s">
        <v>12</v>
      </c>
      <c r="B7" t="s">
        <v>13</v>
      </c>
      <c r="C7" t="s">
        <v>24</v>
      </c>
      <c r="D7" t="s">
        <v>25</v>
      </c>
      <c r="E7" t="s">
        <v>87</v>
      </c>
      <c r="I7" t="s">
        <v>16</v>
      </c>
      <c r="J7">
        <v>8080</v>
      </c>
      <c r="K7">
        <v>8080</v>
      </c>
      <c r="M7" t="s">
        <v>110</v>
      </c>
      <c r="N7" t="str">
        <f t="shared" si="0"/>
        <v>get router info routing-table details 10.201.29.80 | grep -f *</v>
      </c>
      <c r="O7" t="s">
        <v>111</v>
      </c>
      <c r="P7" t="s">
        <v>112</v>
      </c>
      <c r="Q7" t="str">
        <f t="shared" si="1"/>
        <v>diagnose firewall iprope lookup 10.201.29.80 8080 10.201.1.31 8080 tcp E2-EH-CTX-APPS</v>
      </c>
    </row>
    <row r="8" spans="1:17" x14ac:dyDescent="0.3">
      <c r="A8" t="s">
        <v>12</v>
      </c>
      <c r="B8" t="s">
        <v>13</v>
      </c>
      <c r="C8" t="s">
        <v>26</v>
      </c>
      <c r="D8" t="s">
        <v>25</v>
      </c>
      <c r="E8" t="s">
        <v>87</v>
      </c>
      <c r="I8" t="s">
        <v>16</v>
      </c>
      <c r="J8">
        <v>8443</v>
      </c>
      <c r="K8">
        <v>8443</v>
      </c>
      <c r="M8" t="s">
        <v>110</v>
      </c>
      <c r="N8" t="str">
        <f t="shared" si="0"/>
        <v>get router info routing-table details 10.201.29.80 | grep -f *</v>
      </c>
      <c r="O8" t="s">
        <v>111</v>
      </c>
      <c r="P8" t="s">
        <v>112</v>
      </c>
      <c r="Q8" t="str">
        <f t="shared" si="1"/>
        <v>diagnose firewall iprope lookup 10.201.29.80 8443 10.201.1.31 8443 tcp E2-EH-CTX-APPS</v>
      </c>
    </row>
    <row r="9" spans="1:17" x14ac:dyDescent="0.3">
      <c r="A9" t="s">
        <v>12</v>
      </c>
      <c r="B9" t="s">
        <v>13</v>
      </c>
      <c r="C9" t="s">
        <v>27</v>
      </c>
      <c r="D9" t="s">
        <v>28</v>
      </c>
      <c r="E9" t="s">
        <v>88</v>
      </c>
      <c r="I9" t="s">
        <v>16</v>
      </c>
      <c r="J9">
        <v>8080</v>
      </c>
      <c r="K9">
        <v>8080</v>
      </c>
      <c r="M9" t="s">
        <v>110</v>
      </c>
      <c r="N9" t="str">
        <f t="shared" si="0"/>
        <v>get router info routing-table details 10.201.29.17 | grep -f *</v>
      </c>
      <c r="O9" t="s">
        <v>111</v>
      </c>
      <c r="P9" t="s">
        <v>112</v>
      </c>
      <c r="Q9" t="str">
        <f t="shared" si="1"/>
        <v>diagnose firewall iprope lookup 10.201.29.17 8080 10.201.1.31 8080 tcp E2-EH-CTX-APPS</v>
      </c>
    </row>
    <row r="10" spans="1:17" x14ac:dyDescent="0.3">
      <c r="A10" t="s">
        <v>12</v>
      </c>
      <c r="B10" t="s">
        <v>13</v>
      </c>
      <c r="C10" t="s">
        <v>29</v>
      </c>
      <c r="D10" t="s">
        <v>28</v>
      </c>
      <c r="E10" t="s">
        <v>88</v>
      </c>
      <c r="I10" t="s">
        <v>16</v>
      </c>
      <c r="J10">
        <v>8443</v>
      </c>
      <c r="K10">
        <v>8443</v>
      </c>
      <c r="M10" t="s">
        <v>110</v>
      </c>
      <c r="N10" t="str">
        <f t="shared" si="0"/>
        <v>get router info routing-table details 10.201.29.17 | grep -f *</v>
      </c>
      <c r="O10" t="s">
        <v>111</v>
      </c>
      <c r="P10" t="s">
        <v>112</v>
      </c>
      <c r="Q10" t="str">
        <f t="shared" si="1"/>
        <v>diagnose firewall iprope lookup 10.201.29.17 8443 10.201.1.31 8443 tcp E2-EH-CTX-APPS</v>
      </c>
    </row>
    <row r="11" spans="1:17" x14ac:dyDescent="0.3">
      <c r="A11" t="s">
        <v>12</v>
      </c>
      <c r="B11" t="s">
        <v>13</v>
      </c>
      <c r="C11" t="s">
        <v>30</v>
      </c>
      <c r="D11" t="s">
        <v>31</v>
      </c>
      <c r="E11" t="s">
        <v>89</v>
      </c>
      <c r="I11" t="s">
        <v>16</v>
      </c>
      <c r="J11">
        <v>8443</v>
      </c>
      <c r="K11">
        <v>8443</v>
      </c>
      <c r="M11" t="s">
        <v>110</v>
      </c>
      <c r="N11" t="str">
        <f t="shared" si="0"/>
        <v>get router info routing-table details 10.201.29.49 | grep -f *</v>
      </c>
      <c r="O11" t="s">
        <v>111</v>
      </c>
      <c r="P11" t="s">
        <v>112</v>
      </c>
      <c r="Q11" t="str">
        <f t="shared" si="1"/>
        <v>diagnose firewall iprope lookup 10.201.29.49 8443 10.201.1.31 8443 tcp E2-EH-CTX-APPS</v>
      </c>
    </row>
    <row r="12" spans="1:17" x14ac:dyDescent="0.3">
      <c r="A12" t="s">
        <v>12</v>
      </c>
      <c r="B12" t="s">
        <v>13</v>
      </c>
      <c r="C12" t="s">
        <v>32</v>
      </c>
      <c r="D12" t="s">
        <v>31</v>
      </c>
      <c r="E12" t="s">
        <v>89</v>
      </c>
      <c r="I12" t="s">
        <v>16</v>
      </c>
      <c r="J12">
        <v>8080</v>
      </c>
      <c r="K12">
        <v>8080</v>
      </c>
      <c r="M12" t="s">
        <v>110</v>
      </c>
      <c r="N12" t="str">
        <f t="shared" si="0"/>
        <v>get router info routing-table details 10.201.29.49 | grep -f *</v>
      </c>
      <c r="O12" t="s">
        <v>111</v>
      </c>
      <c r="P12" t="s">
        <v>112</v>
      </c>
      <c r="Q12" t="str">
        <f t="shared" si="1"/>
        <v>diagnose firewall iprope lookup 10.201.29.49 8080 10.201.1.31 8080 tcp E2-EH-CTX-APPS</v>
      </c>
    </row>
    <row r="13" spans="1:17" x14ac:dyDescent="0.3">
      <c r="A13" t="s">
        <v>12</v>
      </c>
      <c r="B13" t="s">
        <v>13</v>
      </c>
      <c r="C13" t="s">
        <v>33</v>
      </c>
      <c r="D13" t="s">
        <v>34</v>
      </c>
      <c r="E13" t="s">
        <v>90</v>
      </c>
      <c r="I13" t="s">
        <v>16</v>
      </c>
      <c r="J13">
        <v>8443</v>
      </c>
      <c r="K13">
        <v>8443</v>
      </c>
      <c r="M13" t="s">
        <v>110</v>
      </c>
      <c r="N13" t="str">
        <f t="shared" si="0"/>
        <v>get router info routing-table details 10.201.29.18 | grep -f *</v>
      </c>
      <c r="O13" t="s">
        <v>111</v>
      </c>
      <c r="P13" t="s">
        <v>112</v>
      </c>
      <c r="Q13" t="str">
        <f t="shared" si="1"/>
        <v>diagnose firewall iprope lookup 10.201.29.18 8443 10.201.1.31 8443 tcp E2-EH-CTX-APPS</v>
      </c>
    </row>
    <row r="14" spans="1:17" x14ac:dyDescent="0.3">
      <c r="A14" t="s">
        <v>12</v>
      </c>
      <c r="B14" t="s">
        <v>13</v>
      </c>
      <c r="C14" t="s">
        <v>35</v>
      </c>
      <c r="D14" t="s">
        <v>34</v>
      </c>
      <c r="E14" t="s">
        <v>90</v>
      </c>
      <c r="I14" t="s">
        <v>16</v>
      </c>
      <c r="J14">
        <v>8080</v>
      </c>
      <c r="K14">
        <v>8080</v>
      </c>
      <c r="M14" t="s">
        <v>110</v>
      </c>
      <c r="N14" t="str">
        <f t="shared" si="0"/>
        <v>get router info routing-table details 10.201.29.18 | grep -f *</v>
      </c>
      <c r="O14" t="s">
        <v>111</v>
      </c>
      <c r="P14" t="s">
        <v>112</v>
      </c>
      <c r="Q14" t="str">
        <f t="shared" si="1"/>
        <v>diagnose firewall iprope lookup 10.201.29.18 8080 10.201.1.31 8080 tcp E2-EH-CTX-APPS</v>
      </c>
    </row>
    <row r="15" spans="1:17" x14ac:dyDescent="0.3">
      <c r="A15" t="s">
        <v>12</v>
      </c>
      <c r="B15" t="s">
        <v>13</v>
      </c>
      <c r="C15" t="s">
        <v>36</v>
      </c>
      <c r="D15" t="s">
        <v>37</v>
      </c>
      <c r="E15" t="s">
        <v>91</v>
      </c>
      <c r="I15" t="s">
        <v>16</v>
      </c>
      <c r="J15">
        <v>8080</v>
      </c>
      <c r="K15">
        <v>8080</v>
      </c>
      <c r="M15" t="s">
        <v>110</v>
      </c>
      <c r="N15" t="str">
        <f t="shared" si="0"/>
        <v>get router info routing-table details 10.201.29.10 | grep -f *</v>
      </c>
      <c r="O15" t="s">
        <v>111</v>
      </c>
      <c r="P15" t="s">
        <v>112</v>
      </c>
      <c r="Q15" t="str">
        <f t="shared" si="1"/>
        <v>diagnose firewall iprope lookup 10.201.29.10 8080 10.201.1.31 8080 tcp E2-EH-CTX-APPS</v>
      </c>
    </row>
    <row r="16" spans="1:17" x14ac:dyDescent="0.3">
      <c r="A16" t="s">
        <v>12</v>
      </c>
      <c r="B16" t="s">
        <v>13</v>
      </c>
      <c r="C16" t="s">
        <v>38</v>
      </c>
      <c r="D16" t="s">
        <v>37</v>
      </c>
      <c r="E16" t="s">
        <v>91</v>
      </c>
      <c r="I16" t="s">
        <v>16</v>
      </c>
      <c r="J16">
        <v>8443</v>
      </c>
      <c r="K16">
        <v>8443</v>
      </c>
      <c r="M16" t="s">
        <v>110</v>
      </c>
      <c r="N16" t="str">
        <f t="shared" si="0"/>
        <v>get router info routing-table details 10.201.29.10 | grep -f *</v>
      </c>
      <c r="O16" t="s">
        <v>111</v>
      </c>
      <c r="P16" t="s">
        <v>112</v>
      </c>
      <c r="Q16" t="str">
        <f t="shared" si="1"/>
        <v>diagnose firewall iprope lookup 10.201.29.10 8443 10.201.1.31 8443 tcp E2-EH-CTX-APPS</v>
      </c>
    </row>
    <row r="17" spans="1:17" x14ac:dyDescent="0.3">
      <c r="A17" t="s">
        <v>12</v>
      </c>
      <c r="B17" t="s">
        <v>13</v>
      </c>
      <c r="C17" t="s">
        <v>39</v>
      </c>
      <c r="D17" t="s">
        <v>40</v>
      </c>
      <c r="E17" t="s">
        <v>92</v>
      </c>
      <c r="I17" t="s">
        <v>16</v>
      </c>
      <c r="J17">
        <v>8080</v>
      </c>
      <c r="K17">
        <v>8080</v>
      </c>
      <c r="M17" t="s">
        <v>110</v>
      </c>
      <c r="N17" t="str">
        <f t="shared" si="0"/>
        <v>get router info routing-table details 10.201.29.16 | grep -f *</v>
      </c>
      <c r="O17" t="s">
        <v>111</v>
      </c>
      <c r="P17" t="s">
        <v>112</v>
      </c>
      <c r="Q17" t="str">
        <f t="shared" si="1"/>
        <v>diagnose firewall iprope lookup 10.201.29.16 8080 10.201.1.31 8080 tcp E2-EH-CTX-APPS</v>
      </c>
    </row>
    <row r="18" spans="1:17" x14ac:dyDescent="0.3">
      <c r="A18" t="s">
        <v>12</v>
      </c>
      <c r="B18" t="s">
        <v>13</v>
      </c>
      <c r="C18" t="s">
        <v>41</v>
      </c>
      <c r="D18" t="s">
        <v>40</v>
      </c>
      <c r="E18" t="s">
        <v>92</v>
      </c>
      <c r="I18" t="s">
        <v>16</v>
      </c>
      <c r="J18">
        <v>8443</v>
      </c>
      <c r="K18">
        <v>8443</v>
      </c>
      <c r="M18" t="s">
        <v>110</v>
      </c>
      <c r="N18" t="str">
        <f t="shared" si="0"/>
        <v>get router info routing-table details 10.201.29.16 | grep -f *</v>
      </c>
      <c r="O18" t="s">
        <v>111</v>
      </c>
      <c r="P18" t="s">
        <v>112</v>
      </c>
      <c r="Q18" t="str">
        <f t="shared" si="1"/>
        <v>diagnose firewall iprope lookup 10.201.29.16 8443 10.201.1.31 8443 tcp E2-EH-CTX-APPS</v>
      </c>
    </row>
    <row r="19" spans="1:17" x14ac:dyDescent="0.3">
      <c r="A19" t="s">
        <v>12</v>
      </c>
      <c r="B19" t="s">
        <v>13</v>
      </c>
      <c r="C19" t="s">
        <v>42</v>
      </c>
      <c r="D19" t="s">
        <v>43</v>
      </c>
      <c r="E19" t="s">
        <v>93</v>
      </c>
      <c r="I19" t="s">
        <v>16</v>
      </c>
      <c r="J19">
        <v>8080</v>
      </c>
      <c r="K19">
        <v>8080</v>
      </c>
      <c r="M19" t="s">
        <v>110</v>
      </c>
      <c r="N19" t="str">
        <f t="shared" si="0"/>
        <v>get router info routing-table details 10.201.29.21 | grep -f *</v>
      </c>
      <c r="O19" t="s">
        <v>111</v>
      </c>
      <c r="P19" t="s">
        <v>112</v>
      </c>
      <c r="Q19" t="str">
        <f t="shared" si="1"/>
        <v>diagnose firewall iprope lookup 10.201.29.21 8080 10.201.1.31 8080 tcp E2-EH-CTX-APPS</v>
      </c>
    </row>
    <row r="20" spans="1:17" x14ac:dyDescent="0.3">
      <c r="A20" t="s">
        <v>12</v>
      </c>
      <c r="B20" t="s">
        <v>13</v>
      </c>
      <c r="C20" t="s">
        <v>44</v>
      </c>
      <c r="D20" t="s">
        <v>43</v>
      </c>
      <c r="E20" t="s">
        <v>93</v>
      </c>
      <c r="I20" t="s">
        <v>16</v>
      </c>
      <c r="J20">
        <v>8443</v>
      </c>
      <c r="K20">
        <v>8443</v>
      </c>
      <c r="M20" t="s">
        <v>110</v>
      </c>
      <c r="N20" t="str">
        <f t="shared" si="0"/>
        <v>get router info routing-table details 10.201.29.21 | grep -f *</v>
      </c>
      <c r="O20" t="s">
        <v>111</v>
      </c>
      <c r="P20" t="s">
        <v>112</v>
      </c>
      <c r="Q20" t="str">
        <f t="shared" si="1"/>
        <v>diagnose firewall iprope lookup 10.201.29.21 8443 10.201.1.31 8443 tcp E2-EH-CTX-APPS</v>
      </c>
    </row>
    <row r="21" spans="1:17" x14ac:dyDescent="0.3">
      <c r="A21" t="s">
        <v>12</v>
      </c>
      <c r="B21" t="s">
        <v>13</v>
      </c>
      <c r="C21" t="s">
        <v>45</v>
      </c>
      <c r="D21" t="s">
        <v>46</v>
      </c>
      <c r="E21" t="s">
        <v>94</v>
      </c>
      <c r="I21" t="s">
        <v>16</v>
      </c>
      <c r="J21">
        <v>8080</v>
      </c>
      <c r="K21">
        <v>8080</v>
      </c>
      <c r="M21" t="s">
        <v>110</v>
      </c>
      <c r="N21" t="str">
        <f t="shared" si="0"/>
        <v>get router info routing-table details 10.201.29.84 | grep -f *</v>
      </c>
      <c r="O21" t="s">
        <v>111</v>
      </c>
      <c r="P21" t="s">
        <v>112</v>
      </c>
      <c r="Q21" t="str">
        <f t="shared" si="1"/>
        <v>diagnose firewall iprope lookup 10.201.29.84 8080 10.201.1.31 8080 tcp E2-EH-CTX-APPS</v>
      </c>
    </row>
    <row r="22" spans="1:17" x14ac:dyDescent="0.3">
      <c r="A22" t="s">
        <v>12</v>
      </c>
      <c r="B22" t="s">
        <v>13</v>
      </c>
      <c r="C22" t="s">
        <v>47</v>
      </c>
      <c r="D22" t="s">
        <v>46</v>
      </c>
      <c r="E22" t="s">
        <v>94</v>
      </c>
      <c r="I22" t="s">
        <v>16</v>
      </c>
      <c r="J22">
        <v>8443</v>
      </c>
      <c r="K22">
        <v>8443</v>
      </c>
      <c r="M22" t="s">
        <v>110</v>
      </c>
      <c r="N22" t="str">
        <f t="shared" si="0"/>
        <v>get router info routing-table details 10.201.29.84 | grep -f *</v>
      </c>
      <c r="O22" t="s">
        <v>111</v>
      </c>
      <c r="P22" t="s">
        <v>112</v>
      </c>
      <c r="Q22" t="str">
        <f t="shared" si="1"/>
        <v>diagnose firewall iprope lookup 10.201.29.84 8443 10.201.1.31 8443 tcp E2-EH-CTX-APPS</v>
      </c>
    </row>
    <row r="23" spans="1:17" x14ac:dyDescent="0.3">
      <c r="A23" t="s">
        <v>12</v>
      </c>
      <c r="B23" t="s">
        <v>13</v>
      </c>
      <c r="C23" t="s">
        <v>48</v>
      </c>
      <c r="D23" t="s">
        <v>49</v>
      </c>
      <c r="E23" t="s">
        <v>95</v>
      </c>
      <c r="I23" t="s">
        <v>16</v>
      </c>
      <c r="J23">
        <v>8443</v>
      </c>
      <c r="K23">
        <v>8443</v>
      </c>
      <c r="M23" t="s">
        <v>110</v>
      </c>
      <c r="N23" t="str">
        <f t="shared" si="0"/>
        <v>get router info routing-table details 10.201.29.137 | grep -f *</v>
      </c>
      <c r="O23" t="s">
        <v>111</v>
      </c>
      <c r="P23" t="s">
        <v>112</v>
      </c>
      <c r="Q23" t="str">
        <f t="shared" si="1"/>
        <v>diagnose firewall iprope lookup 10.201.29.137 8443 10.201.1.31 8443 tcp E2-EH-CTX-APPS</v>
      </c>
    </row>
    <row r="24" spans="1:17" x14ac:dyDescent="0.3">
      <c r="A24" t="s">
        <v>12</v>
      </c>
      <c r="B24" t="s">
        <v>13</v>
      </c>
      <c r="C24" t="s">
        <v>50</v>
      </c>
      <c r="D24" t="s">
        <v>49</v>
      </c>
      <c r="E24" t="s">
        <v>95</v>
      </c>
      <c r="I24" t="s">
        <v>16</v>
      </c>
      <c r="J24">
        <v>8080</v>
      </c>
      <c r="K24">
        <v>8080</v>
      </c>
      <c r="M24" t="s">
        <v>110</v>
      </c>
      <c r="N24" t="str">
        <f t="shared" si="0"/>
        <v>get router info routing-table details 10.201.29.137 | grep -f *</v>
      </c>
      <c r="O24" t="s">
        <v>111</v>
      </c>
      <c r="P24" t="s">
        <v>112</v>
      </c>
      <c r="Q24" t="str">
        <f t="shared" si="1"/>
        <v>diagnose firewall iprope lookup 10.201.29.137 8080 10.201.1.31 8080 tcp E2-EH-CTX-APPS</v>
      </c>
    </row>
    <row r="25" spans="1:17" x14ac:dyDescent="0.3">
      <c r="A25" t="s">
        <v>12</v>
      </c>
      <c r="B25" t="s">
        <v>13</v>
      </c>
      <c r="C25" t="s">
        <v>51</v>
      </c>
      <c r="D25" t="s">
        <v>52</v>
      </c>
      <c r="E25" t="s">
        <v>96</v>
      </c>
      <c r="I25" t="s">
        <v>16</v>
      </c>
      <c r="J25">
        <v>8080</v>
      </c>
      <c r="K25">
        <v>8080</v>
      </c>
      <c r="M25" t="s">
        <v>110</v>
      </c>
      <c r="N25" t="str">
        <f t="shared" si="0"/>
        <v>get router info routing-table details 10.201.29.79 | grep -f *</v>
      </c>
      <c r="O25" t="s">
        <v>111</v>
      </c>
      <c r="P25" t="s">
        <v>112</v>
      </c>
      <c r="Q25" t="str">
        <f t="shared" si="1"/>
        <v>diagnose firewall iprope lookup 10.201.29.79 8080 10.201.1.31 8080 tcp E2-EH-CTX-APPS</v>
      </c>
    </row>
    <row r="26" spans="1:17" x14ac:dyDescent="0.3">
      <c r="A26" t="s">
        <v>12</v>
      </c>
      <c r="B26" t="s">
        <v>13</v>
      </c>
      <c r="C26" t="s">
        <v>53</v>
      </c>
      <c r="D26" t="s">
        <v>52</v>
      </c>
      <c r="E26" t="s">
        <v>96</v>
      </c>
      <c r="I26" t="s">
        <v>16</v>
      </c>
      <c r="J26">
        <v>8443</v>
      </c>
      <c r="K26">
        <v>8443</v>
      </c>
      <c r="M26" t="s">
        <v>110</v>
      </c>
      <c r="N26" t="str">
        <f t="shared" si="0"/>
        <v>get router info routing-table details 10.201.29.79 | grep -f *</v>
      </c>
      <c r="O26" t="s">
        <v>111</v>
      </c>
      <c r="P26" t="s">
        <v>112</v>
      </c>
      <c r="Q26" t="str">
        <f t="shared" si="1"/>
        <v>diagnose firewall iprope lookup 10.201.29.79 8443 10.201.1.31 8443 tcp E2-EH-CTX-APPS</v>
      </c>
    </row>
    <row r="27" spans="1:17" x14ac:dyDescent="0.3">
      <c r="A27" t="s">
        <v>12</v>
      </c>
      <c r="B27" t="s">
        <v>13</v>
      </c>
      <c r="C27" t="s">
        <v>54</v>
      </c>
      <c r="D27" t="s">
        <v>55</v>
      </c>
      <c r="E27" t="s">
        <v>97</v>
      </c>
      <c r="I27" t="s">
        <v>16</v>
      </c>
      <c r="J27">
        <v>8080</v>
      </c>
      <c r="K27">
        <v>8080</v>
      </c>
      <c r="M27" t="s">
        <v>110</v>
      </c>
      <c r="N27" t="str">
        <f t="shared" si="0"/>
        <v>get router info routing-table details 10.201.29.35 | grep -f *</v>
      </c>
      <c r="O27" t="s">
        <v>111</v>
      </c>
      <c r="P27" t="s">
        <v>112</v>
      </c>
      <c r="Q27" t="str">
        <f t="shared" si="1"/>
        <v>diagnose firewall iprope lookup 10.201.29.35 8080 10.201.1.31 8080 tcp E2-EH-CTX-APPS</v>
      </c>
    </row>
    <row r="28" spans="1:17" x14ac:dyDescent="0.3">
      <c r="A28" t="s">
        <v>12</v>
      </c>
      <c r="B28" t="s">
        <v>13</v>
      </c>
      <c r="C28" t="s">
        <v>56</v>
      </c>
      <c r="D28" t="s">
        <v>55</v>
      </c>
      <c r="E28" t="s">
        <v>97</v>
      </c>
      <c r="I28" t="s">
        <v>16</v>
      </c>
      <c r="J28">
        <v>8443</v>
      </c>
      <c r="K28">
        <v>8443</v>
      </c>
      <c r="M28" t="s">
        <v>110</v>
      </c>
      <c r="N28" t="str">
        <f t="shared" si="0"/>
        <v>get router info routing-table details 10.201.29.35 | grep -f *</v>
      </c>
      <c r="O28" t="s">
        <v>111</v>
      </c>
      <c r="P28" t="s">
        <v>112</v>
      </c>
      <c r="Q28" t="str">
        <f t="shared" si="1"/>
        <v>diagnose firewall iprope lookup 10.201.29.35 8443 10.201.1.31 8443 tcp E2-EH-CTX-APPS</v>
      </c>
    </row>
    <row r="29" spans="1:17" x14ac:dyDescent="0.3">
      <c r="A29" t="s">
        <v>12</v>
      </c>
      <c r="B29" t="s">
        <v>13</v>
      </c>
      <c r="C29" t="s">
        <v>57</v>
      </c>
      <c r="D29" t="s">
        <v>58</v>
      </c>
      <c r="E29" t="s">
        <v>98</v>
      </c>
      <c r="I29" t="s">
        <v>16</v>
      </c>
      <c r="J29">
        <v>8443</v>
      </c>
      <c r="K29">
        <v>8443</v>
      </c>
      <c r="M29" t="s">
        <v>110</v>
      </c>
      <c r="N29" t="str">
        <f t="shared" si="0"/>
        <v>get router info routing-table details 10.201.29.125 | grep -f *</v>
      </c>
      <c r="O29" t="s">
        <v>111</v>
      </c>
      <c r="P29" t="s">
        <v>112</v>
      </c>
      <c r="Q29" t="str">
        <f t="shared" si="1"/>
        <v>diagnose firewall iprope lookup 10.201.29.125 8443 10.201.1.31 8443 tcp E2-EH-CTX-APPS</v>
      </c>
    </row>
    <row r="30" spans="1:17" x14ac:dyDescent="0.3">
      <c r="A30" t="s">
        <v>12</v>
      </c>
      <c r="B30" t="s">
        <v>13</v>
      </c>
      <c r="C30" t="s">
        <v>59</v>
      </c>
      <c r="D30" t="s">
        <v>58</v>
      </c>
      <c r="E30" t="s">
        <v>98</v>
      </c>
      <c r="I30" t="s">
        <v>16</v>
      </c>
      <c r="J30">
        <v>8080</v>
      </c>
      <c r="K30">
        <v>8080</v>
      </c>
      <c r="M30" t="s">
        <v>110</v>
      </c>
      <c r="N30" t="str">
        <f t="shared" si="0"/>
        <v>get router info routing-table details 10.201.29.125 | grep -f *</v>
      </c>
      <c r="O30" t="s">
        <v>111</v>
      </c>
      <c r="P30" t="s">
        <v>112</v>
      </c>
      <c r="Q30" t="str">
        <f t="shared" si="1"/>
        <v>diagnose firewall iprope lookup 10.201.29.125 8080 10.201.1.31 8080 tcp E2-EH-CTX-APPS</v>
      </c>
    </row>
    <row r="31" spans="1:17" x14ac:dyDescent="0.3">
      <c r="A31" t="s">
        <v>12</v>
      </c>
      <c r="B31" t="s">
        <v>13</v>
      </c>
      <c r="C31" t="s">
        <v>60</v>
      </c>
      <c r="D31" t="s">
        <v>61</v>
      </c>
      <c r="E31" t="s">
        <v>99</v>
      </c>
      <c r="I31" t="s">
        <v>16</v>
      </c>
      <c r="J31">
        <v>22</v>
      </c>
      <c r="K31">
        <v>22</v>
      </c>
      <c r="M31" t="s">
        <v>110</v>
      </c>
      <c r="N31" t="str">
        <f t="shared" si="0"/>
        <v>get router info routing-table details 10.222.210.166 | grep -f *</v>
      </c>
      <c r="O31" t="s">
        <v>111</v>
      </c>
      <c r="P31" t="s">
        <v>115</v>
      </c>
      <c r="Q31" t="str">
        <f t="shared" si="1"/>
        <v>diagnose firewall iprope lookup 10.222.210.166 22 10.201.1.31 22 tcp E2-EH-VPN</v>
      </c>
    </row>
    <row r="32" spans="1:17" x14ac:dyDescent="0.3">
      <c r="A32" t="s">
        <v>12</v>
      </c>
      <c r="B32" t="s">
        <v>13</v>
      </c>
      <c r="C32" t="s">
        <v>62</v>
      </c>
      <c r="D32" t="s">
        <v>63</v>
      </c>
      <c r="E32" t="s">
        <v>100</v>
      </c>
      <c r="I32" t="s">
        <v>16</v>
      </c>
      <c r="J32">
        <v>8443</v>
      </c>
      <c r="K32">
        <v>8443</v>
      </c>
      <c r="M32" t="s">
        <v>110</v>
      </c>
      <c r="N32" t="str">
        <f t="shared" si="0"/>
        <v>get router info routing-table details 10.222.64.198 | grep -f *</v>
      </c>
      <c r="O32" t="s">
        <v>111</v>
      </c>
      <c r="P32" t="s">
        <v>114</v>
      </c>
      <c r="Q32" t="str">
        <f t="shared" si="1"/>
        <v>diagnose firewall iprope lookup 10.222.64.198 8443 10.201.1.31 8443 tcp EH-VDI</v>
      </c>
    </row>
    <row r="33" spans="1:17" x14ac:dyDescent="0.3">
      <c r="A33" t="s">
        <v>12</v>
      </c>
      <c r="B33" t="s">
        <v>13</v>
      </c>
      <c r="C33" t="s">
        <v>64</v>
      </c>
      <c r="D33" t="s">
        <v>65</v>
      </c>
      <c r="E33" t="s">
        <v>101</v>
      </c>
      <c r="I33" t="s">
        <v>16</v>
      </c>
      <c r="J33">
        <v>22</v>
      </c>
      <c r="K33">
        <v>22</v>
      </c>
      <c r="M33" t="s">
        <v>110</v>
      </c>
      <c r="N33" t="str">
        <f t="shared" si="0"/>
        <v>get router info routing-table details 10.17.42.6 | grep -f *</v>
      </c>
      <c r="O33" t="s">
        <v>111</v>
      </c>
      <c r="P33" t="s">
        <v>113</v>
      </c>
      <c r="Q33" t="str">
        <f t="shared" si="1"/>
        <v>diagnose firewall iprope lookup 10.17.42.6 22 10.201.1.31 22 tcp E2-EH-AGN</v>
      </c>
    </row>
    <row r="34" spans="1:17" x14ac:dyDescent="0.3">
      <c r="A34" t="s">
        <v>12</v>
      </c>
      <c r="B34" t="s">
        <v>13</v>
      </c>
      <c r="C34" t="s">
        <v>66</v>
      </c>
      <c r="D34" t="s">
        <v>67</v>
      </c>
      <c r="E34" t="s">
        <v>102</v>
      </c>
      <c r="I34" t="s">
        <v>16</v>
      </c>
      <c r="J34">
        <v>8080</v>
      </c>
      <c r="K34">
        <v>8080</v>
      </c>
      <c r="M34" t="s">
        <v>110</v>
      </c>
      <c r="N34" t="str">
        <f t="shared" si="0"/>
        <v>get router info routing-table details 10.201.29.146 | grep -f *</v>
      </c>
      <c r="O34" t="s">
        <v>111</v>
      </c>
      <c r="P34" t="s">
        <v>112</v>
      </c>
      <c r="Q34" t="str">
        <f t="shared" si="1"/>
        <v>diagnose firewall iprope lookup 10.201.29.146 8080 10.201.1.31 8080 tcp E2-EH-CTX-APPS</v>
      </c>
    </row>
    <row r="35" spans="1:17" x14ac:dyDescent="0.3">
      <c r="A35" t="s">
        <v>12</v>
      </c>
      <c r="B35" t="s">
        <v>13</v>
      </c>
      <c r="C35" t="s">
        <v>68</v>
      </c>
      <c r="D35" t="s">
        <v>67</v>
      </c>
      <c r="E35" t="s">
        <v>102</v>
      </c>
      <c r="I35" t="s">
        <v>16</v>
      </c>
      <c r="J35">
        <v>8443</v>
      </c>
      <c r="K35">
        <v>8443</v>
      </c>
      <c r="M35" t="s">
        <v>110</v>
      </c>
      <c r="N35" t="str">
        <f t="shared" si="0"/>
        <v>get router info routing-table details 10.201.29.146 | grep -f *</v>
      </c>
      <c r="O35" t="s">
        <v>111</v>
      </c>
      <c r="P35" t="s">
        <v>112</v>
      </c>
      <c r="Q35" t="str">
        <f t="shared" si="1"/>
        <v>diagnose firewall iprope lookup 10.201.29.146 8443 10.201.1.31 8443 tcp E2-EH-CTX-APPS</v>
      </c>
    </row>
    <row r="36" spans="1:17" x14ac:dyDescent="0.3">
      <c r="A36" t="s">
        <v>12</v>
      </c>
      <c r="B36" t="s">
        <v>13</v>
      </c>
      <c r="C36" t="s">
        <v>69</v>
      </c>
      <c r="D36" t="s">
        <v>70</v>
      </c>
      <c r="E36" t="s">
        <v>103</v>
      </c>
      <c r="I36" t="s">
        <v>16</v>
      </c>
      <c r="J36">
        <v>8080</v>
      </c>
      <c r="K36">
        <v>8080</v>
      </c>
      <c r="M36" t="s">
        <v>110</v>
      </c>
      <c r="N36" t="str">
        <f t="shared" si="0"/>
        <v>get router info routing-table details 10.201.29.15 | grep -f *</v>
      </c>
      <c r="O36" t="s">
        <v>111</v>
      </c>
      <c r="P36" t="s">
        <v>112</v>
      </c>
      <c r="Q36" t="str">
        <f t="shared" si="1"/>
        <v>diagnose firewall iprope lookup 10.201.29.15 8080 10.201.1.31 8080 tcp E2-EH-CTX-APPS</v>
      </c>
    </row>
    <row r="37" spans="1:17" x14ac:dyDescent="0.3">
      <c r="A37" t="s">
        <v>12</v>
      </c>
      <c r="B37" t="s">
        <v>13</v>
      </c>
      <c r="C37" t="s">
        <v>71</v>
      </c>
      <c r="D37" t="s">
        <v>70</v>
      </c>
      <c r="E37" t="s">
        <v>103</v>
      </c>
      <c r="I37" t="s">
        <v>16</v>
      </c>
      <c r="J37">
        <v>8443</v>
      </c>
      <c r="K37">
        <v>8443</v>
      </c>
      <c r="M37" t="s">
        <v>110</v>
      </c>
      <c r="N37" t="str">
        <f t="shared" si="0"/>
        <v>get router info routing-table details 10.201.29.15 | grep -f *</v>
      </c>
      <c r="O37" t="s">
        <v>111</v>
      </c>
      <c r="P37" t="s">
        <v>112</v>
      </c>
      <c r="Q37" t="str">
        <f t="shared" si="1"/>
        <v>diagnose firewall iprope lookup 10.201.29.15 8443 10.201.1.31 8443 tcp E2-EH-CTX-APPS</v>
      </c>
    </row>
    <row r="38" spans="1:17" x14ac:dyDescent="0.3">
      <c r="A38" t="s">
        <v>12</v>
      </c>
      <c r="B38" t="s">
        <v>13</v>
      </c>
      <c r="C38" t="s">
        <v>72</v>
      </c>
      <c r="D38" t="s">
        <v>73</v>
      </c>
      <c r="E38" t="s">
        <v>104</v>
      </c>
      <c r="I38" t="s">
        <v>16</v>
      </c>
      <c r="J38">
        <v>8080</v>
      </c>
      <c r="K38">
        <v>8080</v>
      </c>
      <c r="M38" t="s">
        <v>110</v>
      </c>
      <c r="N38" t="str">
        <f t="shared" si="0"/>
        <v>get router info routing-table details 10.201.29.82 | grep -f *</v>
      </c>
      <c r="O38" t="s">
        <v>111</v>
      </c>
      <c r="P38" t="s">
        <v>112</v>
      </c>
      <c r="Q38" t="str">
        <f t="shared" si="1"/>
        <v>diagnose firewall iprope lookup 10.201.29.82 8080 10.201.1.31 8080 tcp E2-EH-CTX-APPS</v>
      </c>
    </row>
    <row r="39" spans="1:17" x14ac:dyDescent="0.3">
      <c r="A39" t="s">
        <v>12</v>
      </c>
      <c r="B39" t="s">
        <v>13</v>
      </c>
      <c r="C39" t="s">
        <v>74</v>
      </c>
      <c r="D39" t="s">
        <v>73</v>
      </c>
      <c r="E39" t="s">
        <v>104</v>
      </c>
      <c r="I39" t="s">
        <v>16</v>
      </c>
      <c r="J39">
        <v>8443</v>
      </c>
      <c r="K39">
        <v>8443</v>
      </c>
      <c r="M39" t="s">
        <v>110</v>
      </c>
      <c r="N39" t="str">
        <f t="shared" si="0"/>
        <v>get router info routing-table details 10.201.29.82 | grep -f *</v>
      </c>
      <c r="O39" t="s">
        <v>111</v>
      </c>
      <c r="P39" t="s">
        <v>112</v>
      </c>
      <c r="Q39" t="str">
        <f t="shared" si="1"/>
        <v>diagnose firewall iprope lookup 10.201.29.82 8443 10.201.1.31 8443 tcp E2-EH-CTX-APPS</v>
      </c>
    </row>
    <row r="40" spans="1:17" x14ac:dyDescent="0.3">
      <c r="A40" t="s">
        <v>12</v>
      </c>
      <c r="B40" t="s">
        <v>13</v>
      </c>
      <c r="C40" t="s">
        <v>75</v>
      </c>
      <c r="D40" t="s">
        <v>76</v>
      </c>
      <c r="E40" t="s">
        <v>105</v>
      </c>
      <c r="I40" t="s">
        <v>16</v>
      </c>
      <c r="J40">
        <v>8080</v>
      </c>
      <c r="K40">
        <v>8080</v>
      </c>
      <c r="M40" t="s">
        <v>110</v>
      </c>
      <c r="N40" t="str">
        <f t="shared" si="0"/>
        <v>get router info routing-table details 10.222.131.196 | grep -f *</v>
      </c>
      <c r="O40" t="s">
        <v>111</v>
      </c>
      <c r="P40" t="s">
        <v>113</v>
      </c>
      <c r="Q40" t="str">
        <f t="shared" si="1"/>
        <v>diagnose firewall iprope lookup 10.222.131.196 8080 10.201.1.31 8080 tcp E2-EH-AGN</v>
      </c>
    </row>
    <row r="41" spans="1:17" x14ac:dyDescent="0.3">
      <c r="A41" t="s">
        <v>12</v>
      </c>
      <c r="B41" t="s">
        <v>13</v>
      </c>
      <c r="C41" t="s">
        <v>77</v>
      </c>
      <c r="D41" t="s">
        <v>78</v>
      </c>
      <c r="E41" t="s">
        <v>106</v>
      </c>
      <c r="I41" t="s">
        <v>16</v>
      </c>
      <c r="J41">
        <v>8443</v>
      </c>
      <c r="K41">
        <v>8443</v>
      </c>
      <c r="M41" t="s">
        <v>110</v>
      </c>
      <c r="N41" t="str">
        <f t="shared" si="0"/>
        <v>get router info routing-table details 10.222.65.106 | grep -f *</v>
      </c>
      <c r="O41" t="s">
        <v>111</v>
      </c>
      <c r="P41" t="s">
        <v>114</v>
      </c>
      <c r="Q41" t="str">
        <f t="shared" si="1"/>
        <v>diagnose firewall iprope lookup 10.222.65.106 8443 10.201.1.31 8443 tcp EH-VDI</v>
      </c>
    </row>
    <row r="42" spans="1:17" x14ac:dyDescent="0.3">
      <c r="A42" t="s">
        <v>12</v>
      </c>
      <c r="B42" t="s">
        <v>13</v>
      </c>
      <c r="C42" t="s">
        <v>79</v>
      </c>
      <c r="D42" t="s">
        <v>80</v>
      </c>
      <c r="E42" t="s">
        <v>107</v>
      </c>
      <c r="I42" t="s">
        <v>16</v>
      </c>
      <c r="J42">
        <v>8443</v>
      </c>
      <c r="K42">
        <v>8443</v>
      </c>
      <c r="M42" t="s">
        <v>110</v>
      </c>
      <c r="N42" t="str">
        <f t="shared" si="0"/>
        <v>get router info routing-table details 10.222.73.41 | grep -f *</v>
      </c>
      <c r="O42" t="s">
        <v>111</v>
      </c>
      <c r="P42" t="s">
        <v>114</v>
      </c>
      <c r="Q42" t="str">
        <f t="shared" si="1"/>
        <v>diagnose firewall iprope lookup 10.222.73.41 8443 10.201.1.31 8443 tcp EH-VDI</v>
      </c>
    </row>
    <row r="43" spans="1:17" x14ac:dyDescent="0.3">
      <c r="A43" t="s">
        <v>12</v>
      </c>
      <c r="B43" t="s">
        <v>13</v>
      </c>
      <c r="C43" t="s">
        <v>81</v>
      </c>
      <c r="D43" t="s">
        <v>82</v>
      </c>
      <c r="E43" t="s">
        <v>108</v>
      </c>
      <c r="I43" t="s">
        <v>16</v>
      </c>
      <c r="J43">
        <v>8080</v>
      </c>
      <c r="K43">
        <v>8080</v>
      </c>
      <c r="M43" t="s">
        <v>110</v>
      </c>
      <c r="N43" t="str">
        <f t="shared" si="0"/>
        <v>get router info routing-table details 10.222.65.208 | grep -f *</v>
      </c>
      <c r="O43" t="s">
        <v>111</v>
      </c>
      <c r="P43" t="s">
        <v>114</v>
      </c>
      <c r="Q43" t="str">
        <f t="shared" si="1"/>
        <v>diagnose firewall iprope lookup 10.222.65.208 8080 10.201.1.31 8080 tcp EH-VDI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F59E3E-F996-4E9F-B3BA-158D6490A580}">
  <dimension ref="A1:A127"/>
  <sheetViews>
    <sheetView topLeftCell="A106" workbookViewId="0">
      <selection activeCell="A122" sqref="A122"/>
    </sheetView>
  </sheetViews>
  <sheetFormatPr defaultRowHeight="14" x14ac:dyDescent="0.3"/>
  <cols>
    <col min="1" max="1" width="99.5" bestFit="1" customWidth="1"/>
  </cols>
  <sheetData>
    <row r="1" spans="1:1" x14ac:dyDescent="0.3">
      <c r="A1" t="s">
        <v>116</v>
      </c>
    </row>
    <row r="2" spans="1:1" x14ac:dyDescent="0.3">
      <c r="A2" t="s">
        <v>117</v>
      </c>
    </row>
    <row r="4" spans="1:1" x14ac:dyDescent="0.3">
      <c r="A4" t="s">
        <v>118</v>
      </c>
    </row>
    <row r="5" spans="1:1" x14ac:dyDescent="0.3">
      <c r="A5" t="s">
        <v>119</v>
      </c>
    </row>
    <row r="7" spans="1:1" x14ac:dyDescent="0.3">
      <c r="A7" t="s">
        <v>120</v>
      </c>
    </row>
    <row r="8" spans="1:1" x14ac:dyDescent="0.3">
      <c r="A8" t="s">
        <v>121</v>
      </c>
    </row>
    <row r="10" spans="1:1" x14ac:dyDescent="0.3">
      <c r="A10" t="s">
        <v>122</v>
      </c>
    </row>
    <row r="11" spans="1:1" x14ac:dyDescent="0.3">
      <c r="A11" t="s">
        <v>123</v>
      </c>
    </row>
    <row r="13" spans="1:1" x14ac:dyDescent="0.3">
      <c r="A13" t="s">
        <v>124</v>
      </c>
    </row>
    <row r="14" spans="1:1" x14ac:dyDescent="0.3">
      <c r="A14" t="s">
        <v>125</v>
      </c>
    </row>
    <row r="16" spans="1:1" x14ac:dyDescent="0.3">
      <c r="A16" t="s">
        <v>126</v>
      </c>
    </row>
    <row r="17" spans="1:1" x14ac:dyDescent="0.3">
      <c r="A17" t="s">
        <v>127</v>
      </c>
    </row>
    <row r="19" spans="1:1" x14ac:dyDescent="0.3">
      <c r="A19" t="s">
        <v>128</v>
      </c>
    </row>
    <row r="20" spans="1:1" x14ac:dyDescent="0.3">
      <c r="A20" t="s">
        <v>129</v>
      </c>
    </row>
    <row r="22" spans="1:1" x14ac:dyDescent="0.3">
      <c r="A22" t="s">
        <v>130</v>
      </c>
    </row>
    <row r="23" spans="1:1" x14ac:dyDescent="0.3">
      <c r="A23" t="s">
        <v>131</v>
      </c>
    </row>
    <row r="25" spans="1:1" x14ac:dyDescent="0.3">
      <c r="A25" t="s">
        <v>132</v>
      </c>
    </row>
    <row r="26" spans="1:1" x14ac:dyDescent="0.3">
      <c r="A26" t="s">
        <v>133</v>
      </c>
    </row>
    <row r="28" spans="1:1" x14ac:dyDescent="0.3">
      <c r="A28" t="s">
        <v>134</v>
      </c>
    </row>
    <row r="29" spans="1:1" x14ac:dyDescent="0.3">
      <c r="A29" t="s">
        <v>135</v>
      </c>
    </row>
    <row r="31" spans="1:1" x14ac:dyDescent="0.3">
      <c r="A31" t="s">
        <v>136</v>
      </c>
    </row>
    <row r="32" spans="1:1" x14ac:dyDescent="0.3">
      <c r="A32" t="s">
        <v>137</v>
      </c>
    </row>
    <row r="34" spans="1:1" x14ac:dyDescent="0.3">
      <c r="A34" t="s">
        <v>138</v>
      </c>
    </row>
    <row r="35" spans="1:1" x14ac:dyDescent="0.3">
      <c r="A35" t="s">
        <v>139</v>
      </c>
    </row>
    <row r="37" spans="1:1" x14ac:dyDescent="0.3">
      <c r="A37" t="s">
        <v>140</v>
      </c>
    </row>
    <row r="38" spans="1:1" x14ac:dyDescent="0.3">
      <c r="A38" t="s">
        <v>141</v>
      </c>
    </row>
    <row r="40" spans="1:1" x14ac:dyDescent="0.3">
      <c r="A40" t="s">
        <v>142</v>
      </c>
    </row>
    <row r="41" spans="1:1" x14ac:dyDescent="0.3">
      <c r="A41" t="s">
        <v>143</v>
      </c>
    </row>
    <row r="43" spans="1:1" x14ac:dyDescent="0.3">
      <c r="A43" t="s">
        <v>144</v>
      </c>
    </row>
    <row r="44" spans="1:1" x14ac:dyDescent="0.3">
      <c r="A44" t="s">
        <v>145</v>
      </c>
    </row>
    <row r="46" spans="1:1" x14ac:dyDescent="0.3">
      <c r="A46" t="s">
        <v>146</v>
      </c>
    </row>
    <row r="47" spans="1:1" x14ac:dyDescent="0.3">
      <c r="A47" t="s">
        <v>147</v>
      </c>
    </row>
    <row r="49" spans="1:1" x14ac:dyDescent="0.3">
      <c r="A49" t="s">
        <v>148</v>
      </c>
    </row>
    <row r="50" spans="1:1" x14ac:dyDescent="0.3">
      <c r="A50" t="s">
        <v>149</v>
      </c>
    </row>
    <row r="52" spans="1:1" x14ac:dyDescent="0.3">
      <c r="A52" t="s">
        <v>150</v>
      </c>
    </row>
    <row r="53" spans="1:1" x14ac:dyDescent="0.3">
      <c r="A53" t="s">
        <v>151</v>
      </c>
    </row>
    <row r="55" spans="1:1" x14ac:dyDescent="0.3">
      <c r="A55" t="s">
        <v>152</v>
      </c>
    </row>
    <row r="56" spans="1:1" x14ac:dyDescent="0.3">
      <c r="A56" t="s">
        <v>153</v>
      </c>
    </row>
    <row r="58" spans="1:1" x14ac:dyDescent="0.3">
      <c r="A58" t="s">
        <v>154</v>
      </c>
    </row>
    <row r="59" spans="1:1" x14ac:dyDescent="0.3">
      <c r="A59" t="s">
        <v>155</v>
      </c>
    </row>
    <row r="61" spans="1:1" x14ac:dyDescent="0.3">
      <c r="A61" t="s">
        <v>156</v>
      </c>
    </row>
    <row r="62" spans="1:1" x14ac:dyDescent="0.3">
      <c r="A62" t="s">
        <v>157</v>
      </c>
    </row>
    <row r="64" spans="1:1" x14ac:dyDescent="0.3">
      <c r="A64" t="s">
        <v>158</v>
      </c>
    </row>
    <row r="65" spans="1:1" x14ac:dyDescent="0.3">
      <c r="A65" t="s">
        <v>159</v>
      </c>
    </row>
    <row r="67" spans="1:1" x14ac:dyDescent="0.3">
      <c r="A67" t="s">
        <v>160</v>
      </c>
    </row>
    <row r="68" spans="1:1" x14ac:dyDescent="0.3">
      <c r="A68" t="s">
        <v>161</v>
      </c>
    </row>
    <row r="70" spans="1:1" x14ac:dyDescent="0.3">
      <c r="A70" t="s">
        <v>162</v>
      </c>
    </row>
    <row r="71" spans="1:1" x14ac:dyDescent="0.3">
      <c r="A71" t="s">
        <v>163</v>
      </c>
    </row>
    <row r="73" spans="1:1" x14ac:dyDescent="0.3">
      <c r="A73" t="s">
        <v>164</v>
      </c>
    </row>
    <row r="74" spans="1:1" x14ac:dyDescent="0.3">
      <c r="A74" t="s">
        <v>165</v>
      </c>
    </row>
    <row r="76" spans="1:1" x14ac:dyDescent="0.3">
      <c r="A76" t="s">
        <v>166</v>
      </c>
    </row>
    <row r="77" spans="1:1" x14ac:dyDescent="0.3">
      <c r="A77" t="s">
        <v>167</v>
      </c>
    </row>
    <row r="79" spans="1:1" x14ac:dyDescent="0.3">
      <c r="A79" t="s">
        <v>168</v>
      </c>
    </row>
    <row r="80" spans="1:1" x14ac:dyDescent="0.3">
      <c r="A80" t="s">
        <v>169</v>
      </c>
    </row>
    <row r="82" spans="1:1" x14ac:dyDescent="0.3">
      <c r="A82" t="s">
        <v>170</v>
      </c>
    </row>
    <row r="83" spans="1:1" x14ac:dyDescent="0.3">
      <c r="A83" t="s">
        <v>171</v>
      </c>
    </row>
    <row r="85" spans="1:1" x14ac:dyDescent="0.3">
      <c r="A85" t="s">
        <v>172</v>
      </c>
    </row>
    <row r="86" spans="1:1" x14ac:dyDescent="0.3">
      <c r="A86" t="s">
        <v>173</v>
      </c>
    </row>
    <row r="88" spans="1:1" x14ac:dyDescent="0.3">
      <c r="A88" t="s">
        <v>174</v>
      </c>
    </row>
    <row r="89" spans="1:1" x14ac:dyDescent="0.3">
      <c r="A89" t="s">
        <v>175</v>
      </c>
    </row>
    <row r="91" spans="1:1" x14ac:dyDescent="0.3">
      <c r="A91" t="s">
        <v>176</v>
      </c>
    </row>
    <row r="92" spans="1:1" x14ac:dyDescent="0.3">
      <c r="A92" t="s">
        <v>177</v>
      </c>
    </row>
    <row r="94" spans="1:1" x14ac:dyDescent="0.3">
      <c r="A94" t="s">
        <v>178</v>
      </c>
    </row>
    <row r="95" spans="1:1" x14ac:dyDescent="0.3">
      <c r="A95" t="s">
        <v>179</v>
      </c>
    </row>
    <row r="97" spans="1:1" x14ac:dyDescent="0.3">
      <c r="A97" t="s">
        <v>180</v>
      </c>
    </row>
    <row r="98" spans="1:1" x14ac:dyDescent="0.3">
      <c r="A98" t="s">
        <v>181</v>
      </c>
    </row>
    <row r="100" spans="1:1" x14ac:dyDescent="0.3">
      <c r="A100" t="s">
        <v>182</v>
      </c>
    </row>
    <row r="101" spans="1:1" x14ac:dyDescent="0.3">
      <c r="A101" t="s">
        <v>183</v>
      </c>
    </row>
    <row r="103" spans="1:1" x14ac:dyDescent="0.3">
      <c r="A103" t="s">
        <v>184</v>
      </c>
    </row>
    <row r="104" spans="1:1" x14ac:dyDescent="0.3">
      <c r="A104" t="s">
        <v>185</v>
      </c>
    </row>
    <row r="106" spans="1:1" x14ac:dyDescent="0.3">
      <c r="A106" t="s">
        <v>186</v>
      </c>
    </row>
    <row r="107" spans="1:1" x14ac:dyDescent="0.3">
      <c r="A107" t="s">
        <v>187</v>
      </c>
    </row>
    <row r="109" spans="1:1" x14ac:dyDescent="0.3">
      <c r="A109" t="s">
        <v>188</v>
      </c>
    </row>
    <row r="110" spans="1:1" x14ac:dyDescent="0.3">
      <c r="A110" t="s">
        <v>189</v>
      </c>
    </row>
    <row r="112" spans="1:1" x14ac:dyDescent="0.3">
      <c r="A112" t="s">
        <v>190</v>
      </c>
    </row>
    <row r="113" spans="1:1" x14ac:dyDescent="0.3">
      <c r="A113" t="s">
        <v>191</v>
      </c>
    </row>
    <row r="115" spans="1:1" x14ac:dyDescent="0.3">
      <c r="A115" t="s">
        <v>192</v>
      </c>
    </row>
    <row r="116" spans="1:1" x14ac:dyDescent="0.3">
      <c r="A116" t="s">
        <v>193</v>
      </c>
    </row>
    <row r="118" spans="1:1" x14ac:dyDescent="0.3">
      <c r="A118" t="s">
        <v>194</v>
      </c>
    </row>
    <row r="119" spans="1:1" x14ac:dyDescent="0.3">
      <c r="A119" t="s">
        <v>195</v>
      </c>
    </row>
    <row r="121" spans="1:1" x14ac:dyDescent="0.3">
      <c r="A121" t="s">
        <v>196</v>
      </c>
    </row>
    <row r="122" spans="1:1" x14ac:dyDescent="0.3">
      <c r="A122" t="s">
        <v>197</v>
      </c>
    </row>
    <row r="124" spans="1:1" x14ac:dyDescent="0.3">
      <c r="A124" t="s">
        <v>198</v>
      </c>
    </row>
    <row r="125" spans="1:1" x14ac:dyDescent="0.3">
      <c r="A125" t="s">
        <v>199</v>
      </c>
    </row>
    <row r="127" spans="1:1" x14ac:dyDescent="0.3">
      <c r="A127" t="s">
        <v>200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10.201.1.31_ads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TAWADE, Abhishek (EH:GROUP)</dc:creator>
  <cp:lastModifiedBy>Tawade, Abhishek (Allianz Trade, external)</cp:lastModifiedBy>
  <dcterms:created xsi:type="dcterms:W3CDTF">2025-12-15T11:51:30Z</dcterms:created>
  <dcterms:modified xsi:type="dcterms:W3CDTF">2025-12-15T14:09:06Z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ce5f591a-3248-43e9-9b70-1ad50135772d_Enabled">
    <vt:lpwstr>true</vt:lpwstr>
  </property>
  <property fmtid="{D5CDD505-2E9C-101B-9397-08002B2CF9AE}" pid="3" name="MSIP_Label_ce5f591a-3248-43e9-9b70-1ad50135772d_SetDate">
    <vt:lpwstr>2025-12-15T11:51:30Z</vt:lpwstr>
  </property>
  <property fmtid="{D5CDD505-2E9C-101B-9397-08002B2CF9AE}" pid="4" name="MSIP_Label_ce5f591a-3248-43e9-9b70-1ad50135772d_Method">
    <vt:lpwstr>Privileged</vt:lpwstr>
  </property>
  <property fmtid="{D5CDD505-2E9C-101B-9397-08002B2CF9AE}" pid="5" name="MSIP_Label_ce5f591a-3248-43e9-9b70-1ad50135772d_Name">
    <vt:lpwstr>ce5f591a-3248-43e9-9b70-1ad50135772d</vt:lpwstr>
  </property>
  <property fmtid="{D5CDD505-2E9C-101B-9397-08002B2CF9AE}" pid="6" name="MSIP_Label_ce5f591a-3248-43e9-9b70-1ad50135772d_SiteId">
    <vt:lpwstr>6e06e42d-6925-47c6-b9e7-9581c7ca302a</vt:lpwstr>
  </property>
  <property fmtid="{D5CDD505-2E9C-101B-9397-08002B2CF9AE}" pid="7" name="MSIP_Label_ce5f591a-3248-43e9-9b70-1ad50135772d_ActionId">
    <vt:lpwstr>725b49ec-4b2f-4bc5-a4af-f6867d641adf</vt:lpwstr>
  </property>
  <property fmtid="{D5CDD505-2E9C-101B-9397-08002B2CF9AE}" pid="8" name="MSIP_Label_ce5f591a-3248-43e9-9b70-1ad50135772d_ContentBits">
    <vt:lpwstr>0</vt:lpwstr>
  </property>
  <property fmtid="{D5CDD505-2E9C-101B-9397-08002B2CF9AE}" pid="9" name="MSIP_Label_ce5f591a-3248-43e9-9b70-1ad50135772d_Tag">
    <vt:lpwstr>10, 0, 1, 1</vt:lpwstr>
  </property>
</Properties>
</file>